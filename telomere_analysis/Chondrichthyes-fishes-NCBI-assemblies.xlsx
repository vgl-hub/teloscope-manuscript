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han/Documents/Agnes.work/PROJECTS/Longevity/LC-2025/Telomere.analysis/sharks/To.VGP/"/>
    </mc:Choice>
  </mc:AlternateContent>
  <xr:revisionPtr revIDLastSave="0" documentId="13_ncr:1_{E2C18384-2625-8143-893B-67C287A9DC52}" xr6:coauthVersionLast="47" xr6:coauthVersionMax="47" xr10:uidLastSave="{00000000-0000-0000-0000-000000000000}"/>
  <bookViews>
    <workbookView xWindow="42440" yWindow="3180" windowWidth="51300" windowHeight="27340" xr2:uid="{00000000-000D-0000-FFFF-FFFF00000000}"/>
  </bookViews>
  <sheets>
    <sheet name="Fish.asm.summary" sheetId="3" r:id="rId1"/>
    <sheet name="species.list" sheetId="4" r:id="rId2"/>
  </sheets>
  <externalReferences>
    <externalReference r:id="rId3"/>
  </externalReferences>
  <definedNames>
    <definedName name="_xlnm._FilterDatabase" localSheetId="0" hidden="1">'Fish.asm.summary'!$A$2:$M$81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4" l="1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</calcChain>
</file>

<file path=xl/sharedStrings.xml><?xml version="1.0" encoding="utf-8"?>
<sst xmlns="http://schemas.openxmlformats.org/spreadsheetml/2006/main" count="718" uniqueCount="355">
  <si>
    <t>Assembly Accession</t>
  </si>
  <si>
    <t>Assembly Name</t>
  </si>
  <si>
    <t>Organism Name</t>
  </si>
  <si>
    <t>Assembly Stats Total Sequence Length</t>
  </si>
  <si>
    <t>Assembly Level</t>
  </si>
  <si>
    <t>Assembly Sequencing Tech</t>
  </si>
  <si>
    <t>Assembly Submitter</t>
  </si>
  <si>
    <t>Assembly BioProject Accession</t>
  </si>
  <si>
    <t>Assembly BioSample Accession</t>
  </si>
  <si>
    <t>GCA_028641065.1</t>
  </si>
  <si>
    <t>Leri_hhj_1</t>
  </si>
  <si>
    <t>Leucoraja erinaceus</t>
  </si>
  <si>
    <t>Chromosome</t>
  </si>
  <si>
    <t>Illumina; PacBio Sequel</t>
  </si>
  <si>
    <t>Okinawa Institute of Science and Technology</t>
  </si>
  <si>
    <t>PRJNA783899</t>
  </si>
  <si>
    <t>SAMN23457310</t>
  </si>
  <si>
    <t>GCF_028641065.1</t>
  </si>
  <si>
    <t>GCA_017639515.1</t>
  </si>
  <si>
    <t>sCarCar2.pri</t>
  </si>
  <si>
    <t>Carcharodon carcharias</t>
  </si>
  <si>
    <t>PacBio Sequel I CLR; Illumina NovaSeq; Arima Genomics Hi-C; Bionano Genomics DLS</t>
  </si>
  <si>
    <t>Vertebrate Genomes Project</t>
  </si>
  <si>
    <t>PRJNA562007</t>
  </si>
  <si>
    <t>SAMN12629504</t>
  </si>
  <si>
    <t>GCF_017639515.1</t>
  </si>
  <si>
    <t>GCA_902713615.2</t>
  </si>
  <si>
    <t>sScyCan1.2</t>
  </si>
  <si>
    <t>Scyliorhinus canicula</t>
  </si>
  <si>
    <t>PacBio,Illumina,BioNano,HiC</t>
  </si>
  <si>
    <t>Wellcome Sanger Institute</t>
  </si>
  <si>
    <t>PRJEB35945</t>
  </si>
  <si>
    <t>SAMEA994730</t>
  </si>
  <si>
    <t>GCA_902713615.1</t>
  </si>
  <si>
    <t>sScyCan1.1</t>
  </si>
  <si>
    <t>SC</t>
  </si>
  <si>
    <t>GCF_902713615.1</t>
  </si>
  <si>
    <t>Rhincodon typus</t>
  </si>
  <si>
    <t>Squalomix</t>
  </si>
  <si>
    <t>GCA_035221665.1</t>
  </si>
  <si>
    <t>ASM3522166v1</t>
  </si>
  <si>
    <t>Okamejei kenojei</t>
  </si>
  <si>
    <t>PacBio</t>
  </si>
  <si>
    <t>BGI-Qingdao</t>
  </si>
  <si>
    <t>PRJNA990959</t>
  </si>
  <si>
    <t>SAMN36278224</t>
  </si>
  <si>
    <t>Chiloscyllium plagiosum</t>
  </si>
  <si>
    <t>GCA_048418815.1</t>
  </si>
  <si>
    <t>sHemAka1.3</t>
  </si>
  <si>
    <t>Hemitrygon akajei</t>
  </si>
  <si>
    <t>PacBio Sequel</t>
  </si>
  <si>
    <t>PRJNA1206076</t>
  </si>
  <si>
    <t>SAMN46069045</t>
  </si>
  <si>
    <t>GCF_048418815.1</t>
  </si>
  <si>
    <t>GCA_020745735.1</t>
  </si>
  <si>
    <t>sHemOce1.pat.X.cur.</t>
  </si>
  <si>
    <t>Hemiscyllium ocellatum</t>
  </si>
  <si>
    <t>PacBio Sequel II CLR; Illumina NovaSeq; Bionano Genomics DLS; Arima Genomics Hi-C v1</t>
  </si>
  <si>
    <t>PRJNA774310</t>
  </si>
  <si>
    <t>SAMN22550098</t>
  </si>
  <si>
    <t>GCF_020745735.1</t>
  </si>
  <si>
    <t>GCA_047496885.1</t>
  </si>
  <si>
    <t>sScyTor2.1</t>
  </si>
  <si>
    <t>Scyliorhinus torazame</t>
  </si>
  <si>
    <t>PRJNA1202043</t>
  </si>
  <si>
    <t>SAMN45957921</t>
  </si>
  <si>
    <t>GCF_047496885.1</t>
  </si>
  <si>
    <t>GCA_030390025.1</t>
  </si>
  <si>
    <t>ASM3039002v1</t>
  </si>
  <si>
    <t>Squalus acanthias</t>
  </si>
  <si>
    <t>Nord University</t>
  </si>
  <si>
    <t>PRJNA978993</t>
  </si>
  <si>
    <t>SAMN35564039</t>
  </si>
  <si>
    <t>GCA_052327205.1</t>
  </si>
  <si>
    <t>FLI_Smic_1.0</t>
  </si>
  <si>
    <t>Somniosus microcephalus</t>
  </si>
  <si>
    <t>PacBio Sequel; Illumina NovaSeq</t>
  </si>
  <si>
    <t>Leibniz Institute on Aging - Fritz Lipmann Institute (FLI)</t>
  </si>
  <si>
    <t>PRJNA1236315</t>
  </si>
  <si>
    <t>SAMN47384478</t>
  </si>
  <si>
    <t>GCA_009764475.2</t>
  </si>
  <si>
    <t>sPriPec2.1.pri</t>
  </si>
  <si>
    <t>Pristis pectinata</t>
  </si>
  <si>
    <t>PRJNA562009</t>
  </si>
  <si>
    <t>SAMN12629505</t>
  </si>
  <si>
    <t>GCF_009764475.1</t>
  </si>
  <si>
    <t>GCA_030028105.1</t>
  </si>
  <si>
    <t>sMobBir1.hap1</t>
  </si>
  <si>
    <t>Mobula birostris</t>
  </si>
  <si>
    <t>PacBio Sequel II HiFi; Arima Hi-C v2</t>
  </si>
  <si>
    <t>PRJNA924117</t>
  </si>
  <si>
    <t>SAMN32746370</t>
  </si>
  <si>
    <t>GCF_030028105.1</t>
  </si>
  <si>
    <t>GCA_037974335.1</t>
  </si>
  <si>
    <t>ASM3797433v1</t>
  </si>
  <si>
    <t>Prionace glauca</t>
  </si>
  <si>
    <t>shanghai ocean university</t>
  </si>
  <si>
    <t>PRJNA1092991</t>
  </si>
  <si>
    <t>SAMN40643812</t>
  </si>
  <si>
    <t>GCA_035084275.1</t>
  </si>
  <si>
    <t>sHydCol1.hap2</t>
  </si>
  <si>
    <t>Hydrolagus colliei</t>
  </si>
  <si>
    <t>PRJNA1058005</t>
  </si>
  <si>
    <t>SAMN39156054</t>
  </si>
  <si>
    <t>GCA_030684315.1</t>
  </si>
  <si>
    <t>sSteTig4.hap1</t>
  </si>
  <si>
    <t>Stegostoma tigrinum</t>
  </si>
  <si>
    <t>PacBio Sequel II HiFi; Arima Hi-C v2; Bionano Genomics DLS</t>
  </si>
  <si>
    <t>PRJNA986595</t>
  </si>
  <si>
    <t>SAMN35823397</t>
  </si>
  <si>
    <t>GCF_030684315.1</t>
  </si>
  <si>
    <t>GCA_047496795.1</t>
  </si>
  <si>
    <t>sChiPun1.3</t>
  </si>
  <si>
    <t>Chiloscyllium punctatum</t>
  </si>
  <si>
    <t>SAMN45949008</t>
  </si>
  <si>
    <t>GCF_047496795.1</t>
  </si>
  <si>
    <t>GCA_036971445.1</t>
  </si>
  <si>
    <t>sNarBan1.hap1</t>
  </si>
  <si>
    <t>Narcine bancroftii</t>
  </si>
  <si>
    <t>PRJNA1063320</t>
  </si>
  <si>
    <t>SAMN39325148</t>
  </si>
  <si>
    <t>GCF_036971445.1</t>
  </si>
  <si>
    <t>GCA_035084215.1</t>
  </si>
  <si>
    <t>sHepPer1.hap1</t>
  </si>
  <si>
    <t>Heptranchias perlo</t>
  </si>
  <si>
    <t>PRJNA1054128</t>
  </si>
  <si>
    <t>SAMN38891902</t>
  </si>
  <si>
    <t>GCF_035084215.1</t>
  </si>
  <si>
    <t>GCA_030144855.1</t>
  </si>
  <si>
    <t>sHypSab1.hap1</t>
  </si>
  <si>
    <t>Hypanus sabinus</t>
  </si>
  <si>
    <t>PRJNA924072</t>
  </si>
  <si>
    <t>SAMN32745077</t>
  </si>
  <si>
    <t>GCF_030144855.1</t>
  </si>
  <si>
    <t>GCA_036365525.1</t>
  </si>
  <si>
    <t>sHetFra1.hap1</t>
  </si>
  <si>
    <t>Heterodontus francisci</t>
  </si>
  <si>
    <t>PRJNA1064416</t>
  </si>
  <si>
    <t>SAMN39432692</t>
  </si>
  <si>
    <t>GCF_036365525.1</t>
  </si>
  <si>
    <t>GCA_050613895.1</t>
  </si>
  <si>
    <t>sSquSuc5.hap2</t>
  </si>
  <si>
    <t>Squalus suckleyi</t>
  </si>
  <si>
    <t>PacBio Revio HiFi; Arima Hi-C v2</t>
  </si>
  <si>
    <t>PRJNA1238015</t>
  </si>
  <si>
    <t>SAMN47447513</t>
  </si>
  <si>
    <t>GCA_963514005.1</t>
  </si>
  <si>
    <t>sRajBra1.1</t>
  </si>
  <si>
    <t>Raja brachyura</t>
  </si>
  <si>
    <t>PacBio,Arima2</t>
  </si>
  <si>
    <t>PRJEB66374</t>
  </si>
  <si>
    <t>SAMEA110450105</t>
  </si>
  <si>
    <t>GCA_964194155.1</t>
  </si>
  <si>
    <t>sCetMax3.hap1.1</t>
  </si>
  <si>
    <t>Cetorhinus maximus</t>
  </si>
  <si>
    <t>PRJEB76905</t>
  </si>
  <si>
    <t>SAMEA113902670</t>
  </si>
  <si>
    <t>GCA_044704955.1</t>
  </si>
  <si>
    <t>sPriJap1.hap1</t>
  </si>
  <si>
    <t>Pristiophorus japonicus</t>
  </si>
  <si>
    <t>PRJNA1170977</t>
  </si>
  <si>
    <t>SAMN44116980</t>
  </si>
  <si>
    <t>GCF_044704955.1</t>
  </si>
  <si>
    <t>GCA_010909765.2</t>
  </si>
  <si>
    <t>sAmbRad1.1.pri</t>
  </si>
  <si>
    <t>Amblyraja radiata</t>
  </si>
  <si>
    <t>PacBio Sequel; Illumina NovaSeq; Arima Genomics Hi-C; Bionano Genomics DLS</t>
  </si>
  <si>
    <t>PRJNA591369</t>
  </si>
  <si>
    <t>SAMN09948523</t>
  </si>
  <si>
    <t>GCF_010909765.2</t>
  </si>
  <si>
    <t>GCA_038087875.1</t>
  </si>
  <si>
    <t>sMalSen1_p1.0</t>
  </si>
  <si>
    <t>Malacoraja senta</t>
  </si>
  <si>
    <t>Canada's Genomic Enterprise</t>
  </si>
  <si>
    <t>PRJNA1027854</t>
  </si>
  <si>
    <t>SAMN36942444</t>
  </si>
  <si>
    <t>GCA_965643135.1</t>
  </si>
  <si>
    <t>sLeuNae2.1</t>
  </si>
  <si>
    <t>Leucoraja naevus</t>
  </si>
  <si>
    <t>PacBio,Arima</t>
  </si>
  <si>
    <t>Genoscope</t>
  </si>
  <si>
    <t>PRJEB90305</t>
  </si>
  <si>
    <t>SAMEA118656754</t>
  </si>
  <si>
    <t>GCA_964213995.1</t>
  </si>
  <si>
    <t>sMusAst1.hap1.1</t>
  </si>
  <si>
    <t>Mustelus asterias</t>
  </si>
  <si>
    <t>PRJEB78883</t>
  </si>
  <si>
    <t>SAMEA114298637</t>
  </si>
  <si>
    <t>Scaffold</t>
  </si>
  <si>
    <t>GCA_018977255.1</t>
  </si>
  <si>
    <t>IMCB_Cmil_1.0</t>
  </si>
  <si>
    <t>Callorhinchus milii</t>
  </si>
  <si>
    <t>PacBio RSII</t>
  </si>
  <si>
    <t>Institute of Molecular and Cell Biology, A*star, Singapore</t>
  </si>
  <si>
    <t>PRJNA575613</t>
  </si>
  <si>
    <t>SAMN12905446</t>
  </si>
  <si>
    <t>GCF_018977255.1</t>
  </si>
  <si>
    <t>GCA_026770705.1</t>
  </si>
  <si>
    <t>ASM2677070v1</t>
  </si>
  <si>
    <t>Isurus oxyrinchus</t>
  </si>
  <si>
    <t>Cornell University</t>
  </si>
  <si>
    <t>PRJNA858840</t>
  </si>
  <si>
    <t>SAMN29758018</t>
  </si>
  <si>
    <t>GCA_036785375.1</t>
  </si>
  <si>
    <t>sLeuOce1_p1.0</t>
  </si>
  <si>
    <t>Leucoraja ocellata</t>
  </si>
  <si>
    <t>PRJNA1019800</t>
  </si>
  <si>
    <t>SAMN36942435</t>
  </si>
  <si>
    <t>GCA_024679065.1</t>
  </si>
  <si>
    <t>ASM2467906v1</t>
  </si>
  <si>
    <t>Sphyrna mokarran</t>
  </si>
  <si>
    <t>Illumina NextSeq; PacBio Sequel</t>
  </si>
  <si>
    <t>PRJNA714980</t>
  </si>
  <si>
    <t>SAMN18322430</t>
  </si>
  <si>
    <t>Contig</t>
  </si>
  <si>
    <t>GCA_040805665.1</t>
  </si>
  <si>
    <t>ASM4080566v1</t>
  </si>
  <si>
    <t>Northwestern Polytechnical University</t>
  </si>
  <si>
    <t>PRJNA1110068</t>
  </si>
  <si>
    <t>SAMN41317380</t>
  </si>
  <si>
    <t>GCA_030035685.1</t>
  </si>
  <si>
    <t>sMobBir1.hap2</t>
  </si>
  <si>
    <t>PRJNA924118</t>
  </si>
  <si>
    <t>GCA_035084065.1</t>
  </si>
  <si>
    <t>sHydCol1.hap1</t>
  </si>
  <si>
    <t>PRJNA1058004</t>
  </si>
  <si>
    <t>GCA_035084135.2</t>
  </si>
  <si>
    <t>sHepPer1.hap2</t>
  </si>
  <si>
    <t>PRJNA1054129</t>
  </si>
  <si>
    <t>GCA_036971175.1</t>
  </si>
  <si>
    <t>sNarBan1.hap2</t>
  </si>
  <si>
    <t>PRJNA1063321</t>
  </si>
  <si>
    <t>GCA_030144785.1</t>
  </si>
  <si>
    <t>sHypSab1.hap2</t>
  </si>
  <si>
    <t>PRJNA924071</t>
  </si>
  <si>
    <t>GCA_036365495.1</t>
  </si>
  <si>
    <t>sHetFra1.hap2</t>
  </si>
  <si>
    <t>PRJNA1064417</t>
  </si>
  <si>
    <t>GCA_050613905.1</t>
  </si>
  <si>
    <t>sSquSuc5.hap1</t>
  </si>
  <si>
    <t>PRJNA1238014</t>
  </si>
  <si>
    <t>GCA_044704965.1</t>
  </si>
  <si>
    <t>sPriJap1.hap2</t>
  </si>
  <si>
    <t>PRJNA1170978</t>
  </si>
  <si>
    <t>GCA_026545855.1</t>
  </si>
  <si>
    <t>ASM2654585v1</t>
  </si>
  <si>
    <t>PacBio; Illumina HiSeq</t>
  </si>
  <si>
    <t>Daegu Gyeongbuk Institute of Science &amp; Technology</t>
  </si>
  <si>
    <t>PRJNA747829</t>
  </si>
  <si>
    <t>SAMN20297441</t>
  </si>
  <si>
    <t>GCA_036900835.1</t>
  </si>
  <si>
    <t>sCarCar3.0.hap2</t>
  </si>
  <si>
    <t>PacBio Sequel IIe; Illumina NovaSeq 6000; Dovetail OmniC</t>
  </si>
  <si>
    <t>UCLA</t>
  </si>
  <si>
    <t>PRJNA1041473</t>
  </si>
  <si>
    <t>SAMN38285717</t>
  </si>
  <si>
    <t>GCA_036900845.1</t>
  </si>
  <si>
    <t>sCarCar3.0.hap1</t>
  </si>
  <si>
    <t>PRJNA1041474</t>
  </si>
  <si>
    <t>GCA_902713625.2</t>
  </si>
  <si>
    <t>sScyCan1.2 alternate haplotype</t>
  </si>
  <si>
    <t>PRJEB35944</t>
  </si>
  <si>
    <t>GCA_001642345.3</t>
  </si>
  <si>
    <t>ASM164234v3</t>
  </si>
  <si>
    <t>PacBio RSII; Illumina HiSeq</t>
  </si>
  <si>
    <t>Emory University</t>
  </si>
  <si>
    <t>PRJNA255419</t>
  </si>
  <si>
    <t>SAMN04562461</t>
  </si>
  <si>
    <t>GCA_037043375.1</t>
  </si>
  <si>
    <t>Cpla_swu_hap1</t>
  </si>
  <si>
    <t>Southwest University</t>
  </si>
  <si>
    <t>PRJNA1024034</t>
  </si>
  <si>
    <t>SAMN37669969</t>
  </si>
  <si>
    <t>GCA_037043355.1</t>
  </si>
  <si>
    <t>Cpla_swu_hap2</t>
  </si>
  <si>
    <t>PRJNA1024033</t>
  </si>
  <si>
    <t>GCA_039877795.1</t>
  </si>
  <si>
    <t>ASM3987779v1</t>
  </si>
  <si>
    <t>Pacbio revio</t>
  </si>
  <si>
    <t>PRJNA1100329</t>
  </si>
  <si>
    <t>SAMN40924968</t>
  </si>
  <si>
    <t>GCA_039878665.1</t>
  </si>
  <si>
    <t>ASM3987866v1</t>
  </si>
  <si>
    <t>PRJNA1100330</t>
  </si>
  <si>
    <t>GCA_020745765.1</t>
  </si>
  <si>
    <t>sHemOce1.mat.decon</t>
  </si>
  <si>
    <t>PRJNA774309</t>
  </si>
  <si>
    <t>GCA_036785295.1</t>
  </si>
  <si>
    <t>sLeuOce1_a1.0</t>
  </si>
  <si>
    <t>PRJNA1019801</t>
  </si>
  <si>
    <t>GCA_009764485.1</t>
  </si>
  <si>
    <t>sPriPec2.alt</t>
  </si>
  <si>
    <t>PRJNA562010</t>
  </si>
  <si>
    <t>GCA_030684295.1</t>
  </si>
  <si>
    <t>sSteTig4.hap2</t>
  </si>
  <si>
    <t>PRJNA986594</t>
  </si>
  <si>
    <t>GCA_964194165.1</t>
  </si>
  <si>
    <t>sCetMax3.hap2.1</t>
  </si>
  <si>
    <t>PRJEB76904</t>
  </si>
  <si>
    <t>GCA_963513955.1</t>
  </si>
  <si>
    <t>sRajBra1.1 alternate haplotype</t>
  </si>
  <si>
    <t>PRJEB66373</t>
  </si>
  <si>
    <t>GCA_038087855.1</t>
  </si>
  <si>
    <t>sMalSen1_a1.0</t>
  </si>
  <si>
    <t>PRJNA1027855</t>
  </si>
  <si>
    <t>GCA_026260435.1</t>
  </si>
  <si>
    <t>GSC_Ssuck_1.0</t>
  </si>
  <si>
    <t>Illumina NovaSeq; PacBio Sequel; Illumina HiSeq</t>
  </si>
  <si>
    <t>PRJNA560402</t>
  </si>
  <si>
    <t>SAMN12591048</t>
  </si>
  <si>
    <t>GCA_010909745.1</t>
  </si>
  <si>
    <t>sAmbRad1.alt</t>
  </si>
  <si>
    <t>PRJNA591368</t>
  </si>
  <si>
    <t>GCA_964214025.1</t>
  </si>
  <si>
    <t>sMusAst1.hap2.1</t>
  </si>
  <si>
    <t>PRJEB78882</t>
  </si>
  <si>
    <t>GCA_017639455.1</t>
  </si>
  <si>
    <t>sCarCar2.alt</t>
  </si>
  <si>
    <t>PRJNA562008</t>
  </si>
  <si>
    <t>Grand Total</t>
  </si>
  <si>
    <t>English Name</t>
  </si>
  <si>
    <t>NCBI taxon ID</t>
  </si>
  <si>
    <t>spotted ratfish</t>
  </si>
  <si>
    <t>horn shark</t>
  </si>
  <si>
    <t>epaulette shark</t>
  </si>
  <si>
    <t>zebra shark</t>
  </si>
  <si>
    <t>great white shark</t>
  </si>
  <si>
    <t>basking shark</t>
  </si>
  <si>
    <t>small-spotted catshark</t>
  </si>
  <si>
    <t>starry smooth-hound shark</t>
  </si>
  <si>
    <t>sharpnose sevengill shark</t>
  </si>
  <si>
    <t>Pacific spiny dogfish</t>
  </si>
  <si>
    <t>Japanese sawshark</t>
  </si>
  <si>
    <t>lesser electric ray</t>
  </si>
  <si>
    <t>thorny skate</t>
  </si>
  <si>
    <t>blonde ray</t>
  </si>
  <si>
    <t>smalltooth sawfish</t>
  </si>
  <si>
    <t>Atlantic stingray</t>
  </si>
  <si>
    <t>Atlantic manta ray</t>
  </si>
  <si>
    <t>spiny dogfish</t>
  </si>
  <si>
    <t>great hammerhead</t>
  </si>
  <si>
    <t>Greenland sleeper shark</t>
  </si>
  <si>
    <t>cloudy catshark</t>
  </si>
  <si>
    <t>whale shark</t>
  </si>
  <si>
    <t>blue shark</t>
  </si>
  <si>
    <t>ocellate spot skate</t>
  </si>
  <si>
    <t>smooth skate</t>
  </si>
  <si>
    <t>winter skate</t>
  </si>
  <si>
    <t>cuckoo ray</t>
  </si>
  <si>
    <t>little skate</t>
  </si>
  <si>
    <t>shortfin mako shark</t>
  </si>
  <si>
    <t>red stingray</t>
  </si>
  <si>
    <t>brownbanded bambooshark</t>
  </si>
  <si>
    <t>whitespotted bambooshark</t>
  </si>
  <si>
    <t>elephant shark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</si>
</sst>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432FF"/>
      <name val="Calibri"/>
      <family val="2"/>
      <scheme val="minor"/>
    </font>
    <font>
      <sz val="12"/>
      <color rgb="FF00B05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34" borderId="0" xfId="0" applyFont="1" applyFill="1"/>
    <xf numFmtId="0" fontId="16" fillId="0" borderId="10" xfId="0" applyFont="1" applyBorder="1"/>
    <xf numFmtId="0" fontId="16" fillId="0" borderId="0" xfId="0" applyFont="1"/>
    <xf numFmtId="0" fontId="16" fillId="34" borderId="11" xfId="0" applyFont="1" applyFill="1" applyBorder="1"/>
    <xf numFmtId="0" fontId="18" fillId="34" borderId="0" xfId="0" applyFont="1" applyFill="1"/>
    <xf numFmtId="0" fontId="18" fillId="0" borderId="0" xfId="0" applyFont="1"/>
    <xf numFmtId="0" fontId="18" fillId="34" borderId="11" xfId="0" applyFont="1" applyFill="1" applyBorder="1"/>
    <xf numFmtId="0" fontId="19" fillId="0" borderId="0" xfId="0" applyFont="1"/>
    <xf numFmtId="0" fontId="0" fillId="0" borderId="0" xfId="0" applyAlignment="1">
      <alignment horizontal="center" vertical="center" wrapText="1"/>
    </xf>
    <xf numFmtId="0" fontId="16" fillId="34" borderId="12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4" borderId="12" xfId="0" applyFont="1" applyFill="1" applyBorder="1" applyAlignment="1">
      <alignment horizontal="center"/>
    </xf>
    <xf numFmtId="0" fontId="16" fillId="34" borderId="10" xfId="0" applyFont="1" applyFill="1" applyBorder="1"/>
    <xf numFmtId="0" fontId="16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han/Documents/Agnes.work/PROJECTS/Longevity/LC-2025/Telomere.analysis/sharks/Chondrichthyes-fishes-ncbi_dataset.xlsx" TargetMode="External"/><Relationship Id="rId1" Type="http://schemas.openxmlformats.org/officeDocument/2006/relationships/externalLinkPath" Target="/Users/achan/Documents/Agnes.work/PROJECTS/Longevity/LC-2025/Telomere.analysis/sharks/Chondrichthyes-fishes-ncbi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.Fish.asm.summary"/>
      <sheetName val="2.Pivot"/>
      <sheetName val="1.Chondrichthyes-fishes-ncbi"/>
      <sheetName val="Notes"/>
      <sheetName val="resources =&gt;"/>
      <sheetName val="species.list"/>
      <sheetName val="ncbi.datasets.taxonomy"/>
      <sheetName val="VGPPhase1-freeze-1.0"/>
      <sheetName val="ncbi.dataset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Amblyraja radiata</v>
          </cell>
          <cell r="B2">
            <v>386614</v>
          </cell>
          <cell r="C2" t="str">
            <v>Amblyraja radiata</v>
          </cell>
          <cell r="D2" t="str">
            <v>(Donovan, 1808)</v>
          </cell>
          <cell r="E2" t="str">
            <v>SPECIES</v>
          </cell>
          <cell r="F2" t="str">
            <v>Raja radiata</v>
          </cell>
          <cell r="G2" t="str">
            <v>Donovan, 1808</v>
          </cell>
          <cell r="H2" t="str">
            <v>thorny skate</v>
          </cell>
        </row>
        <row r="3">
          <cell r="A3" t="str">
            <v>Callorhinchus milii</v>
          </cell>
          <cell r="B3">
            <v>7868</v>
          </cell>
          <cell r="C3" t="str">
            <v>Callorhinchus milii</v>
          </cell>
          <cell r="D3" t="str">
            <v>Bory de Saint-Vincent, 1823</v>
          </cell>
          <cell r="E3" t="str">
            <v>SPECIES</v>
          </cell>
          <cell r="H3" t="str">
            <v>elephant shark</v>
          </cell>
        </row>
        <row r="4">
          <cell r="A4" t="str">
            <v>Carcharodon carcharias</v>
          </cell>
          <cell r="B4">
            <v>13397</v>
          </cell>
          <cell r="C4" t="str">
            <v>Carcharodon carcharias</v>
          </cell>
          <cell r="D4" t="str">
            <v>(Linnaeus, 1758)</v>
          </cell>
          <cell r="E4" t="str">
            <v>SPECIES</v>
          </cell>
          <cell r="F4" t="str">
            <v>Squalus carcharias</v>
          </cell>
          <cell r="G4" t="str">
            <v>Linnaeus, 1758</v>
          </cell>
          <cell r="H4" t="str">
            <v>great white shark</v>
          </cell>
        </row>
        <row r="5">
          <cell r="A5" t="str">
            <v>Cetorhinus maximus</v>
          </cell>
          <cell r="B5">
            <v>57982</v>
          </cell>
          <cell r="C5" t="str">
            <v>Cetorhinus maximus</v>
          </cell>
          <cell r="E5" t="str">
            <v>SPECIES</v>
          </cell>
          <cell r="F5" t="str">
            <v>Squalus maximus</v>
          </cell>
          <cell r="G5" t="str">
            <v>Gunnerus, 1765</v>
          </cell>
        </row>
        <row r="6">
          <cell r="A6" t="str">
            <v>Chiloscyllium plagiosum</v>
          </cell>
          <cell r="B6">
            <v>36176</v>
          </cell>
          <cell r="C6" t="str">
            <v>Chiloscyllium plagiosum</v>
          </cell>
          <cell r="D6" t="str">
            <v>(Anonymous [Bennett], 1830)</v>
          </cell>
          <cell r="E6" t="str">
            <v>SPECIES</v>
          </cell>
          <cell r="F6" t="str">
            <v>Scyllium plagiosum</v>
          </cell>
          <cell r="G6" t="str">
            <v>Anonymous, 1830</v>
          </cell>
          <cell r="H6" t="str">
            <v>whitespotted bambooshark</v>
          </cell>
        </row>
        <row r="7">
          <cell r="A7" t="str">
            <v>Chiloscyllium punctatum</v>
          </cell>
          <cell r="B7">
            <v>137246</v>
          </cell>
          <cell r="C7" t="str">
            <v>Chiloscyllium punctatum</v>
          </cell>
          <cell r="D7" t="str">
            <v>Muller &amp; Henle, 1838</v>
          </cell>
          <cell r="E7" t="str">
            <v>SPECIES</v>
          </cell>
          <cell r="H7" t="str">
            <v>brownbanded bambooshark</v>
          </cell>
        </row>
        <row r="8">
          <cell r="A8" t="str">
            <v>Hemiscyllium ocellatum</v>
          </cell>
          <cell r="B8">
            <v>170820</v>
          </cell>
          <cell r="C8" t="str">
            <v>Hemiscyllium ocellatum</v>
          </cell>
          <cell r="E8" t="str">
            <v>SPECIES</v>
          </cell>
          <cell r="F8" t="str">
            <v>Squalus ocellatus</v>
          </cell>
          <cell r="G8" t="str">
            <v>Bonnaterre, 1788</v>
          </cell>
          <cell r="H8" t="str">
            <v>epaulette shark</v>
          </cell>
        </row>
        <row r="9">
          <cell r="A9" t="str">
            <v>Hemitrygon akajei</v>
          </cell>
          <cell r="B9">
            <v>2704970</v>
          </cell>
          <cell r="C9" t="str">
            <v>Hemitrygon akajei</v>
          </cell>
          <cell r="D9" t="str">
            <v>(BuÃàrger, 1841)</v>
          </cell>
          <cell r="E9" t="str">
            <v>SPECIES</v>
          </cell>
          <cell r="F9" t="str">
            <v>Trygon akajei</v>
          </cell>
          <cell r="G9" t="str">
            <v>Mueller &amp; Henle, 1841</v>
          </cell>
          <cell r="H9" t="str">
            <v>red stingray</v>
          </cell>
        </row>
        <row r="10">
          <cell r="A10" t="str">
            <v>Heptranchias perlo</v>
          </cell>
          <cell r="B10">
            <v>212740</v>
          </cell>
          <cell r="C10" t="str">
            <v>Heptranchias perlo</v>
          </cell>
          <cell r="D10" t="str">
            <v>(Bonnaterre, 1788)</v>
          </cell>
          <cell r="E10" t="str">
            <v>SPECIES</v>
          </cell>
          <cell r="F10" t="str">
            <v>Squalus perlo</v>
          </cell>
          <cell r="G10" t="str">
            <v>Bonnaterre, 1788</v>
          </cell>
          <cell r="H10" t="str">
            <v>sharpnose sevengill shark</v>
          </cell>
        </row>
        <row r="11">
          <cell r="A11" t="str">
            <v>Heterodontus francisci</v>
          </cell>
          <cell r="B11">
            <v>7792</v>
          </cell>
          <cell r="C11" t="str">
            <v>Heterodontus francisci</v>
          </cell>
          <cell r="D11" t="str">
            <v>(Girard, 1855)</v>
          </cell>
          <cell r="E11" t="str">
            <v>SPECIES</v>
          </cell>
          <cell r="F11" t="str">
            <v>Cestracion francisci</v>
          </cell>
          <cell r="G11" t="str">
            <v>Girard, 1855</v>
          </cell>
          <cell r="H11" t="str">
            <v>horn shark</v>
          </cell>
        </row>
        <row r="12">
          <cell r="A12" t="str">
            <v>Hydrolagus colliei</v>
          </cell>
          <cell r="B12">
            <v>7873</v>
          </cell>
          <cell r="C12" t="str">
            <v>Hydrolagus colliei</v>
          </cell>
          <cell r="D12" t="str">
            <v>(Lay &amp; Bennett, 1839)</v>
          </cell>
          <cell r="E12" t="str">
            <v>SPECIES</v>
          </cell>
          <cell r="F12" t="str">
            <v>Chimaera colliei</v>
          </cell>
          <cell r="G12" t="str">
            <v>Lay &amp; Bennett, 1839</v>
          </cell>
          <cell r="H12" t="str">
            <v>spotted ratfish</v>
          </cell>
        </row>
        <row r="13">
          <cell r="A13" t="str">
            <v>Hypanus sabinus</v>
          </cell>
          <cell r="B13">
            <v>79690</v>
          </cell>
          <cell r="C13" t="str">
            <v>Hypanus sabinus</v>
          </cell>
          <cell r="D13" t="str">
            <v>(Lesueur, 1824)</v>
          </cell>
          <cell r="E13" t="str">
            <v>SPECIES</v>
          </cell>
          <cell r="F13" t="str">
            <v>Trygon sabina</v>
          </cell>
          <cell r="G13" t="str">
            <v>Lesueur, 1824</v>
          </cell>
          <cell r="H13" t="str">
            <v>Atlantic stingray</v>
          </cell>
        </row>
        <row r="14">
          <cell r="A14" t="str">
            <v>Isurus oxyrinchus</v>
          </cell>
          <cell r="B14">
            <v>57983</v>
          </cell>
          <cell r="C14" t="str">
            <v>Isurus oxyrinchus</v>
          </cell>
          <cell r="D14" t="str">
            <v>Rafinesque, 1810</v>
          </cell>
          <cell r="E14" t="str">
            <v>SPECIES</v>
          </cell>
          <cell r="H14" t="str">
            <v>shortfin mako shark</v>
          </cell>
        </row>
        <row r="15">
          <cell r="A15" t="str">
            <v>Leucoraja erinaceus</v>
          </cell>
          <cell r="B15">
            <v>7782</v>
          </cell>
          <cell r="C15" t="str">
            <v>Leucoraja erinaceus</v>
          </cell>
          <cell r="D15" t="str">
            <v>(Mitchill, 1825)</v>
          </cell>
          <cell r="E15" t="str">
            <v>SPECIES</v>
          </cell>
          <cell r="F15" t="str">
            <v>Raja erinaceus</v>
          </cell>
          <cell r="G15" t="str">
            <v>Mitchill, 1825</v>
          </cell>
          <cell r="H15" t="str">
            <v>little skate</v>
          </cell>
        </row>
        <row r="16">
          <cell r="A16" t="str">
            <v>Leucoraja naevus</v>
          </cell>
          <cell r="B16">
            <v>223888</v>
          </cell>
          <cell r="C16" t="str">
            <v>Leucoraja naevus</v>
          </cell>
          <cell r="D16" t="str">
            <v>(MuÃàller &amp; Henle, 1841)</v>
          </cell>
          <cell r="E16" t="str">
            <v>SPECIES</v>
          </cell>
          <cell r="F16" t="str">
            <v>Raja naevus</v>
          </cell>
          <cell r="G16" t="str">
            <v>MuÃàller &amp; Henle, 1841</v>
          </cell>
          <cell r="H16" t="str">
            <v>cuckoo ray</v>
          </cell>
        </row>
        <row r="17">
          <cell r="A17" t="str">
            <v>Leucoraja ocellata</v>
          </cell>
          <cell r="B17">
            <v>173042</v>
          </cell>
          <cell r="C17" t="str">
            <v>Leucoraja ocellata</v>
          </cell>
          <cell r="D17" t="str">
            <v>(Mitchill, 1815)</v>
          </cell>
          <cell r="E17" t="str">
            <v>SPECIES</v>
          </cell>
          <cell r="F17" t="str">
            <v>Raja ocellata</v>
          </cell>
          <cell r="G17" t="str">
            <v>Mitchill, 1815</v>
          </cell>
          <cell r="H17" t="str">
            <v>winter skate</v>
          </cell>
        </row>
        <row r="18">
          <cell r="A18" t="str">
            <v>Malacoraja senta</v>
          </cell>
          <cell r="B18">
            <v>1072478</v>
          </cell>
          <cell r="C18" t="str">
            <v>Malacoraja senta</v>
          </cell>
          <cell r="D18" t="str">
            <v>(Garman, 1885)</v>
          </cell>
          <cell r="E18" t="str">
            <v>SPECIES</v>
          </cell>
          <cell r="F18" t="str">
            <v>Raja senta</v>
          </cell>
          <cell r="G18" t="str">
            <v>Garman, 1885</v>
          </cell>
          <cell r="H18" t="str">
            <v>smooth skate</v>
          </cell>
        </row>
        <row r="19">
          <cell r="A19" t="str">
            <v>Mobula birostris</v>
          </cell>
          <cell r="B19">
            <v>1983395</v>
          </cell>
          <cell r="C19" t="str">
            <v>Mobula birostris</v>
          </cell>
          <cell r="D19" t="str">
            <v>(Walbaum, 1792)</v>
          </cell>
          <cell r="E19" t="str">
            <v>SPECIES</v>
          </cell>
          <cell r="F19" t="str">
            <v>Raja birostris</v>
          </cell>
          <cell r="G19" t="str">
            <v>Walbaum, 1792</v>
          </cell>
          <cell r="H19" t="str">
            <v>giant manta</v>
          </cell>
        </row>
        <row r="20">
          <cell r="A20" t="str">
            <v>Mustelus asterias</v>
          </cell>
          <cell r="B20">
            <v>112232</v>
          </cell>
          <cell r="C20" t="str">
            <v>Mustelus asterias</v>
          </cell>
          <cell r="D20" t="str">
            <v>Cloquet, 1821</v>
          </cell>
          <cell r="E20" t="str">
            <v>SPECIES</v>
          </cell>
          <cell r="H20" t="str">
            <v>starry smooth-hound</v>
          </cell>
        </row>
        <row r="21">
          <cell r="A21" t="str">
            <v>Narcine bancroftii</v>
          </cell>
          <cell r="B21">
            <v>1343680</v>
          </cell>
          <cell r="C21" t="str">
            <v>Narcine bancroftii</v>
          </cell>
          <cell r="D21" t="str">
            <v>(Griffith &amp; Smith, 1834)</v>
          </cell>
          <cell r="E21" t="str">
            <v>SPECIES</v>
          </cell>
          <cell r="F21" t="str">
            <v>Torpedo bancroftii</v>
          </cell>
          <cell r="G21" t="str">
            <v>Griffith &amp; Smith, 1834</v>
          </cell>
          <cell r="H21" t="str">
            <v>Caribbean electric ray</v>
          </cell>
        </row>
        <row r="22">
          <cell r="A22" t="str">
            <v>Okamejei kenojei</v>
          </cell>
          <cell r="B22">
            <v>432798</v>
          </cell>
          <cell r="C22" t="str">
            <v>Okamejei kenojei</v>
          </cell>
          <cell r="D22" t="str">
            <v>(MuÃàller &amp; Henle, 1841)</v>
          </cell>
          <cell r="E22" t="str">
            <v>SPECIES</v>
          </cell>
          <cell r="F22" t="str">
            <v>Raja kenojei</v>
          </cell>
          <cell r="G22" t="str">
            <v>Burger, 1841</v>
          </cell>
          <cell r="H22" t="str">
            <v>ocellate spot skate</v>
          </cell>
        </row>
        <row r="23">
          <cell r="A23" t="str">
            <v>Prionace glauca</v>
          </cell>
          <cell r="B23">
            <v>7815</v>
          </cell>
          <cell r="C23" t="str">
            <v>Prionace glauca</v>
          </cell>
          <cell r="D23" t="str">
            <v>(Linnaeus, 1758)</v>
          </cell>
          <cell r="E23" t="str">
            <v>SPECIES</v>
          </cell>
          <cell r="F23" t="str">
            <v>Squalus glaucus</v>
          </cell>
          <cell r="G23" t="str">
            <v>Linnaeus, 1758</v>
          </cell>
          <cell r="H23" t="str">
            <v>blue shark</v>
          </cell>
        </row>
        <row r="24">
          <cell r="A24" t="str">
            <v>Pristiophorus japonicus</v>
          </cell>
          <cell r="B24">
            <v>55135</v>
          </cell>
          <cell r="C24" t="str">
            <v>Pristiophorus japonicus</v>
          </cell>
          <cell r="D24" t="str">
            <v>Gunther, 1870</v>
          </cell>
          <cell r="E24" t="str">
            <v>SPECIES</v>
          </cell>
        </row>
        <row r="25">
          <cell r="A25" t="str">
            <v>Pristis pectinata</v>
          </cell>
          <cell r="B25">
            <v>685728</v>
          </cell>
          <cell r="C25" t="str">
            <v>Pristis pectinata</v>
          </cell>
          <cell r="D25" t="str">
            <v>Latham, 1794</v>
          </cell>
          <cell r="E25" t="str">
            <v>SPECIES</v>
          </cell>
          <cell r="H25" t="str">
            <v>smalltooth sawfish</v>
          </cell>
        </row>
        <row r="26">
          <cell r="A26" t="str">
            <v>Raja brachyura</v>
          </cell>
          <cell r="B26">
            <v>223862</v>
          </cell>
          <cell r="C26" t="str">
            <v>Raja brachyura</v>
          </cell>
          <cell r="D26" t="str">
            <v>Lafont, 1873</v>
          </cell>
          <cell r="E26" t="str">
            <v>SPECIES</v>
          </cell>
          <cell r="H26" t="str">
            <v>blonde ray</v>
          </cell>
        </row>
        <row r="27">
          <cell r="A27" t="str">
            <v>Rhincodon typus</v>
          </cell>
          <cell r="B27">
            <v>259920</v>
          </cell>
          <cell r="C27" t="str">
            <v>Rhincodon typus</v>
          </cell>
          <cell r="D27" t="str">
            <v>Smith, 1828</v>
          </cell>
          <cell r="E27" t="str">
            <v>SPECIES</v>
          </cell>
          <cell r="H27" t="str">
            <v>whale shark</v>
          </cell>
        </row>
        <row r="28">
          <cell r="A28" t="str">
            <v>Scyliorhinus canicula</v>
          </cell>
          <cell r="B28">
            <v>7830</v>
          </cell>
          <cell r="C28" t="str">
            <v>Scyliorhinus canicula</v>
          </cell>
          <cell r="D28" t="str">
            <v>(Linnaeus, 1758)</v>
          </cell>
          <cell r="E28" t="str">
            <v>SPECIES</v>
          </cell>
          <cell r="F28" t="str">
            <v>Squalus canicula</v>
          </cell>
          <cell r="G28" t="str">
            <v>Linnaeus, 1758</v>
          </cell>
          <cell r="H28" t="str">
            <v>smaller spotted catshark</v>
          </cell>
        </row>
        <row r="29">
          <cell r="A29" t="str">
            <v>Scyliorhinus torazame</v>
          </cell>
          <cell r="B29">
            <v>75743</v>
          </cell>
          <cell r="C29" t="str">
            <v>Scyliorhinus torazame</v>
          </cell>
          <cell r="D29" t="str">
            <v>(Tanaka, 1908)</v>
          </cell>
          <cell r="E29" t="str">
            <v>SPECIES</v>
          </cell>
          <cell r="F29" t="str">
            <v>Catulus torazame</v>
          </cell>
          <cell r="G29" t="str">
            <v>Tanaka, 1908</v>
          </cell>
          <cell r="H29" t="str">
            <v>cloudy catshark</v>
          </cell>
        </row>
        <row r="30">
          <cell r="A30" t="str">
            <v>Somniosus microcephalus</v>
          </cell>
          <cell r="B30">
            <v>191813</v>
          </cell>
          <cell r="C30" t="str">
            <v>Somniosus microcephalus</v>
          </cell>
          <cell r="D30" t="str">
            <v>(Bloch &amp; Schneider, 1801)</v>
          </cell>
          <cell r="E30" t="str">
            <v>SPECIES</v>
          </cell>
          <cell r="F30" t="str">
            <v>Squalus microcephalus</v>
          </cell>
          <cell r="G30" t="str">
            <v>Bloch &amp; Schneider, 1801</v>
          </cell>
          <cell r="H30" t="str">
            <v>Greenland sleeper shark</v>
          </cell>
        </row>
        <row r="31">
          <cell r="A31" t="str">
            <v>Sphyrna mokarran</v>
          </cell>
          <cell r="B31">
            <v>195334</v>
          </cell>
          <cell r="C31" t="str">
            <v>Sphyrna mokarran</v>
          </cell>
          <cell r="D31" t="str">
            <v>(Ruppell, 1837)</v>
          </cell>
          <cell r="E31" t="str">
            <v>SPECIES</v>
          </cell>
          <cell r="F31" t="str">
            <v>Zygaena mokarran</v>
          </cell>
          <cell r="G31" t="str">
            <v>Ruppell, 1837</v>
          </cell>
          <cell r="H31" t="str">
            <v>great hammerhead</v>
          </cell>
        </row>
        <row r="32">
          <cell r="A32" t="str">
            <v>Squalus acanthias</v>
          </cell>
          <cell r="B32">
            <v>7797</v>
          </cell>
          <cell r="C32" t="str">
            <v>Squalus acanthias</v>
          </cell>
          <cell r="D32" t="str">
            <v>Linnaeus, 1758</v>
          </cell>
          <cell r="E32" t="str">
            <v>SPECIES</v>
          </cell>
          <cell r="H32" t="str">
            <v>spiny dogfish</v>
          </cell>
        </row>
        <row r="33">
          <cell r="A33" t="str">
            <v>Squalus suckleyi</v>
          </cell>
          <cell r="B33">
            <v>7798</v>
          </cell>
          <cell r="C33" t="str">
            <v>Squalus suckleyi</v>
          </cell>
          <cell r="D33" t="str">
            <v>(Girard, 1855)</v>
          </cell>
          <cell r="E33" t="str">
            <v>SPECIES</v>
          </cell>
          <cell r="F33" t="str">
            <v>Spinax suckleyi</v>
          </cell>
          <cell r="G33" t="str">
            <v>Girard, 1855</v>
          </cell>
          <cell r="H33" t="str">
            <v>Puget Sound dogfish</v>
          </cell>
        </row>
        <row r="34">
          <cell r="A34" t="str">
            <v>Stegostoma tigrinum</v>
          </cell>
          <cell r="B34">
            <v>3053191</v>
          </cell>
          <cell r="C34" t="str">
            <v>Stegostoma tigrinum</v>
          </cell>
          <cell r="D34" t="str">
            <v>(Forster, 1781)</v>
          </cell>
          <cell r="E34" t="str">
            <v>SPECIES</v>
          </cell>
          <cell r="F34" t="str">
            <v>Squalus tigrinus</v>
          </cell>
          <cell r="G34" t="str">
            <v>Forster, 1781</v>
          </cell>
        </row>
      </sheetData>
      <sheetData sheetId="7">
        <row r="2">
          <cell r="J2" t="str">
            <v>Elephas maximus indicus</v>
          </cell>
          <cell r="K2" t="str">
            <v>Asian elephant</v>
          </cell>
          <cell r="L2">
            <v>99487</v>
          </cell>
        </row>
        <row r="3">
          <cell r="J3" t="str">
            <v>Loxodonta africana</v>
          </cell>
          <cell r="K3" t="str">
            <v>African elephant</v>
          </cell>
          <cell r="L3">
            <v>9785</v>
          </cell>
        </row>
        <row r="4">
          <cell r="J4" t="str">
            <v>Heterohyrax brucei</v>
          </cell>
          <cell r="K4" t="str">
            <v>yellow-spotted rock hyrax</v>
          </cell>
          <cell r="L4">
            <v>77598</v>
          </cell>
        </row>
        <row r="5">
          <cell r="J5" t="str">
            <v>Dugong dugon</v>
          </cell>
          <cell r="K5" t="str">
            <v>dugong</v>
          </cell>
          <cell r="L5">
            <v>29137</v>
          </cell>
        </row>
        <row r="6">
          <cell r="J6" t="str">
            <v>Trichechus inunguis</v>
          </cell>
          <cell r="K6" t="str">
            <v>Amazon manatee</v>
          </cell>
          <cell r="L6">
            <v>9777</v>
          </cell>
        </row>
        <row r="7">
          <cell r="J7" t="str">
            <v>Rhynchocyon petersi</v>
          </cell>
          <cell r="K7" t="str">
            <v>black and rufous elephant shrew</v>
          </cell>
          <cell r="L7">
            <v>320637</v>
          </cell>
        </row>
        <row r="8">
          <cell r="J8" t="str">
            <v>Tenrec ecaudatus</v>
          </cell>
          <cell r="K8" t="str">
            <v>tailless tenrec</v>
          </cell>
          <cell r="L8">
            <v>319815</v>
          </cell>
        </row>
        <row r="9">
          <cell r="J9" t="str">
            <v>Amblysomus hottentotus</v>
          </cell>
          <cell r="K9" t="str">
            <v>hottentot golden mole</v>
          </cell>
          <cell r="L9">
            <v>9391</v>
          </cell>
        </row>
        <row r="10">
          <cell r="J10" t="str">
            <v>Orycteropus afer</v>
          </cell>
          <cell r="K10" t="str">
            <v>aardvark</v>
          </cell>
          <cell r="L10">
            <v>9818</v>
          </cell>
        </row>
        <row r="11">
          <cell r="J11" t="str">
            <v>Tamandua tetradactyla</v>
          </cell>
          <cell r="K11" t="str">
            <v xml:space="preserve">Southern tamandua </v>
          </cell>
          <cell r="L11">
            <v>48850</v>
          </cell>
        </row>
        <row r="12">
          <cell r="J12" t="str">
            <v>Choloepus didactylus</v>
          </cell>
          <cell r="K12" t="str">
            <v>Linnaeus's two-toed sloth</v>
          </cell>
          <cell r="L12">
            <v>27675</v>
          </cell>
        </row>
        <row r="13">
          <cell r="J13" t="str">
            <v>Dasypus novemcinctus</v>
          </cell>
          <cell r="K13" t="str">
            <v>nine-banded armadillo</v>
          </cell>
          <cell r="L13">
            <v>9361</v>
          </cell>
        </row>
        <row r="14">
          <cell r="J14" t="str">
            <v>Homo sapiens</v>
          </cell>
          <cell r="K14" t="str">
            <v>human</v>
          </cell>
          <cell r="L14">
            <v>9606</v>
          </cell>
        </row>
        <row r="15">
          <cell r="J15" t="str">
            <v>Pan troglodytes</v>
          </cell>
          <cell r="K15" t="str">
            <v>chimpanzee</v>
          </cell>
          <cell r="L15">
            <v>9598</v>
          </cell>
        </row>
        <row r="16">
          <cell r="J16" t="str">
            <v>Pan paniscus</v>
          </cell>
          <cell r="K16" t="str">
            <v>bonobo</v>
          </cell>
          <cell r="L16">
            <v>9597</v>
          </cell>
        </row>
        <row r="17">
          <cell r="J17" t="str">
            <v>Gorilla gorilla</v>
          </cell>
          <cell r="K17" t="str">
            <v>gorilla</v>
          </cell>
          <cell r="L17">
            <v>9593</v>
          </cell>
        </row>
        <row r="18">
          <cell r="J18" t="str">
            <v xml:space="preserve">Pongo abelii </v>
          </cell>
          <cell r="K18" t="str">
            <v>Sumatran orangutan</v>
          </cell>
          <cell r="L18">
            <v>9601</v>
          </cell>
        </row>
        <row r="19">
          <cell r="J19" t="str">
            <v>Pongo pygmaeus</v>
          </cell>
          <cell r="K19" t="str">
            <v>Bornean orangutan</v>
          </cell>
          <cell r="L19">
            <v>9600</v>
          </cell>
        </row>
        <row r="20">
          <cell r="J20" t="str">
            <v>Symphalangus syndactylus</v>
          </cell>
          <cell r="K20" t="str">
            <v>siamang gibbon</v>
          </cell>
          <cell r="L20">
            <v>9590</v>
          </cell>
        </row>
        <row r="21">
          <cell r="J21" t="str">
            <v>Macaca fascicularis</v>
          </cell>
          <cell r="K21" t="str">
            <v>crab-eating macaque</v>
          </cell>
          <cell r="L21">
            <v>9541</v>
          </cell>
        </row>
        <row r="22">
          <cell r="J22" t="str">
            <v>Macaca nemestrina</v>
          </cell>
          <cell r="K22" t="str">
            <v>pig-tailed macaque</v>
          </cell>
          <cell r="L22">
            <v>9545</v>
          </cell>
        </row>
        <row r="23">
          <cell r="J23" t="str">
            <v>Callithrix jacchus</v>
          </cell>
          <cell r="K23" t="str">
            <v>common marmoset</v>
          </cell>
          <cell r="L23">
            <v>9483</v>
          </cell>
        </row>
        <row r="24">
          <cell r="J24" t="str">
            <v>Saimiri boliviensis</v>
          </cell>
          <cell r="K24" t="str">
            <v>Bolivian squirrel monkey</v>
          </cell>
          <cell r="L24">
            <v>27679</v>
          </cell>
        </row>
        <row r="25">
          <cell r="J25" t="str">
            <v>Ateles marginatus</v>
          </cell>
          <cell r="K25" t="str">
            <v>white-cheeked spider monkey</v>
          </cell>
          <cell r="L25">
            <v>1529884</v>
          </cell>
        </row>
        <row r="26">
          <cell r="J26" t="str">
            <v>Chiropotes utahicki</v>
          </cell>
          <cell r="K26" t="str">
            <v>Uta Hick's bearded saki</v>
          </cell>
          <cell r="L26">
            <v>280160</v>
          </cell>
        </row>
        <row r="27">
          <cell r="J27" t="str">
            <v>Carlito syrichta</v>
          </cell>
          <cell r="K27" t="str">
            <v>Philippine tarsier</v>
          </cell>
          <cell r="L27">
            <v>1868482</v>
          </cell>
        </row>
        <row r="28">
          <cell r="J28" t="str">
            <v>Nycticebus coucang</v>
          </cell>
          <cell r="K28" t="str">
            <v>sunda slow loris</v>
          </cell>
          <cell r="L28">
            <v>9470</v>
          </cell>
        </row>
        <row r="29">
          <cell r="J29" t="str">
            <v>Lemur catta</v>
          </cell>
          <cell r="K29" t="str">
            <v>ring-tailed lemur</v>
          </cell>
          <cell r="L29">
            <v>9447</v>
          </cell>
        </row>
        <row r="30">
          <cell r="J30" t="str">
            <v>Cynocephalus volans</v>
          </cell>
          <cell r="K30" t="str">
            <v>Philippine flying lemur</v>
          </cell>
          <cell r="L30">
            <v>110931</v>
          </cell>
        </row>
        <row r="31">
          <cell r="J31" t="str">
            <v>Erethizon dorsatum</v>
          </cell>
          <cell r="K31" t="str">
            <v>North American porcupine</v>
          </cell>
          <cell r="L31">
            <v>34844</v>
          </cell>
        </row>
        <row r="32">
          <cell r="J32" t="str">
            <v>Ctenodactylus gundi</v>
          </cell>
          <cell r="K32" t="str">
            <v>common gundi</v>
          </cell>
          <cell r="L32">
            <v>10166</v>
          </cell>
        </row>
        <row r="33">
          <cell r="J33" t="str">
            <v>Muscardinus avellanarius</v>
          </cell>
          <cell r="K33" t="str">
            <v>common dormouse</v>
          </cell>
          <cell r="L33">
            <v>39082</v>
          </cell>
        </row>
        <row r="34">
          <cell r="J34" t="str">
            <v>Sciurus vulgaris</v>
          </cell>
          <cell r="K34" t="str">
            <v>Eurasian red squirrel</v>
          </cell>
          <cell r="L34">
            <v>55149</v>
          </cell>
        </row>
        <row r="35">
          <cell r="J35" t="str">
            <v xml:space="preserve">Sciurus carolinensis </v>
          </cell>
          <cell r="K35" t="str">
            <v>grey squirrel</v>
          </cell>
          <cell r="L35">
            <v>30640</v>
          </cell>
        </row>
        <row r="36">
          <cell r="J36" t="str">
            <v>Urocitellus parryii</v>
          </cell>
          <cell r="K36" t="str">
            <v>Arctic ground squirrel</v>
          </cell>
          <cell r="L36">
            <v>9999</v>
          </cell>
        </row>
        <row r="37">
          <cell r="J37" t="str">
            <v>Spermophilus citellus</v>
          </cell>
          <cell r="K37" t="str">
            <v>European ground squirrel</v>
          </cell>
          <cell r="L37">
            <v>9997</v>
          </cell>
        </row>
        <row r="38">
          <cell r="J38" t="str">
            <v>Callospermophilus lateralis</v>
          </cell>
          <cell r="K38" t="str">
            <v>golden-mantled ground squirrel</v>
          </cell>
          <cell r="L38">
            <v>76772</v>
          </cell>
        </row>
        <row r="39">
          <cell r="J39" t="str">
            <v>Marmota flaviventris</v>
          </cell>
          <cell r="K39" t="str">
            <v>yellow bellied marmot</v>
          </cell>
          <cell r="L39">
            <v>93162</v>
          </cell>
        </row>
        <row r="40">
          <cell r="J40" t="str">
            <v>Aplodontia rufa</v>
          </cell>
          <cell r="K40" t="str">
            <v>mountain beaver</v>
          </cell>
          <cell r="L40">
            <v>51342</v>
          </cell>
        </row>
        <row r="41">
          <cell r="J41" t="str">
            <v>Acomys russatus</v>
          </cell>
          <cell r="K41" t="str">
            <v>golden spiny mouse</v>
          </cell>
          <cell r="L41">
            <v>60746</v>
          </cell>
        </row>
        <row r="42">
          <cell r="J42" t="str">
            <v>Apodemus sylvaticus</v>
          </cell>
          <cell r="K42" t="str">
            <v>European woodmouse</v>
          </cell>
          <cell r="L42">
            <v>10129</v>
          </cell>
        </row>
        <row r="43">
          <cell r="J43" t="str">
            <v>Arvicanthis niloticus</v>
          </cell>
          <cell r="K43" t="str">
            <v>Nile rat</v>
          </cell>
          <cell r="L43">
            <v>61156</v>
          </cell>
        </row>
        <row r="44">
          <cell r="J44" t="str">
            <v>Rattus norvegicus</v>
          </cell>
          <cell r="K44" t="str">
            <v>Norway rat</v>
          </cell>
          <cell r="L44">
            <v>10116</v>
          </cell>
        </row>
        <row r="45">
          <cell r="J45" t="str">
            <v>Micromys minutus</v>
          </cell>
          <cell r="K45" t="str">
            <v>European harvest mouse</v>
          </cell>
          <cell r="L45">
            <v>13151</v>
          </cell>
        </row>
        <row r="46">
          <cell r="J46" t="str">
            <v>Mus musculus</v>
          </cell>
          <cell r="K46" t="str">
            <v>house mouse</v>
          </cell>
          <cell r="L46">
            <v>10090</v>
          </cell>
        </row>
        <row r="47">
          <cell r="J47" t="str">
            <v>Acomys minous</v>
          </cell>
          <cell r="K47" t="str">
            <v>Crete spiny mouse</v>
          </cell>
          <cell r="L47">
            <v>83528</v>
          </cell>
        </row>
        <row r="48">
          <cell r="J48" t="str">
            <v>Microtus pennsylvanicus</v>
          </cell>
          <cell r="K48" t="str">
            <v>Eastern meadow vole</v>
          </cell>
          <cell r="L48">
            <v>10058</v>
          </cell>
        </row>
        <row r="49">
          <cell r="J49" t="str">
            <v>Onychomys torridus</v>
          </cell>
          <cell r="K49" t="str">
            <v>Southern grasshopper mouse</v>
          </cell>
          <cell r="L49">
            <v>38674</v>
          </cell>
        </row>
        <row r="50">
          <cell r="J50" t="str">
            <v>Arvicola amphibius</v>
          </cell>
          <cell r="K50" t="str">
            <v>European water vole</v>
          </cell>
          <cell r="L50">
            <v>1047088</v>
          </cell>
        </row>
        <row r="51">
          <cell r="J51" t="str">
            <v>Chionomys nivalis</v>
          </cell>
          <cell r="K51" t="str">
            <v>European snow vole</v>
          </cell>
          <cell r="L51">
            <v>269649</v>
          </cell>
        </row>
        <row r="52">
          <cell r="J52" t="str">
            <v>Peromyscus maniculatus</v>
          </cell>
          <cell r="K52" t="str">
            <v>deer mouse</v>
          </cell>
          <cell r="L52">
            <v>10042</v>
          </cell>
        </row>
        <row r="53">
          <cell r="J53" t="str">
            <v>Peromyscus gossypinus</v>
          </cell>
          <cell r="K53" t="str">
            <v>cotton mouse</v>
          </cell>
          <cell r="L53">
            <v>42411</v>
          </cell>
        </row>
        <row r="54">
          <cell r="J54" t="str">
            <v>Neotoma floridana</v>
          </cell>
          <cell r="K54" t="str">
            <v>Eastern woodrat</v>
          </cell>
          <cell r="L54">
            <v>42409</v>
          </cell>
        </row>
        <row r="55">
          <cell r="J55" t="str">
            <v>Jaculus jaculus</v>
          </cell>
          <cell r="K55" t="str">
            <v>Lesser Egyptian jerboa</v>
          </cell>
          <cell r="L55">
            <v>51337</v>
          </cell>
        </row>
        <row r="56">
          <cell r="J56" t="str">
            <v>Anomalurus beecrofti</v>
          </cell>
          <cell r="K56" t="str">
            <v>Beecroft's flying squirrel</v>
          </cell>
          <cell r="L56">
            <v>1082180</v>
          </cell>
        </row>
        <row r="57">
          <cell r="J57" t="str">
            <v>Pedetes capensis</v>
          </cell>
          <cell r="K57" t="str">
            <v>South African springhare</v>
          </cell>
          <cell r="L57">
            <v>10023</v>
          </cell>
        </row>
        <row r="58">
          <cell r="J58" t="str">
            <v>Thomomys bottae</v>
          </cell>
          <cell r="K58" t="str">
            <v>Botta's pocket gopher</v>
          </cell>
          <cell r="L58">
            <v>10013</v>
          </cell>
        </row>
        <row r="59">
          <cell r="J59" t="str">
            <v>Castor canadensis</v>
          </cell>
          <cell r="K59" t="str">
            <v>North American beaver</v>
          </cell>
          <cell r="L59">
            <v>51338</v>
          </cell>
        </row>
        <row r="60">
          <cell r="J60" t="str">
            <v>Oryctolagus cuniculus</v>
          </cell>
          <cell r="K60" t="str">
            <v>European rabbit</v>
          </cell>
          <cell r="L60">
            <v>9986</v>
          </cell>
        </row>
        <row r="61">
          <cell r="J61" t="str">
            <v>Ochotona princeps</v>
          </cell>
          <cell r="K61" t="str">
            <v>American pika</v>
          </cell>
          <cell r="L61">
            <v>9978</v>
          </cell>
        </row>
        <row r="62">
          <cell r="J62" t="str">
            <v>Tupaia tana</v>
          </cell>
          <cell r="K62" t="str">
            <v>large treeshrew</v>
          </cell>
          <cell r="L62">
            <v>70687</v>
          </cell>
        </row>
        <row r="63">
          <cell r="J63" t="str">
            <v>Ptilocercus lowii</v>
          </cell>
          <cell r="K63" t="str">
            <v>pen-tailed treeshrew</v>
          </cell>
          <cell r="L63">
            <v>320338</v>
          </cell>
        </row>
        <row r="64">
          <cell r="J64" t="str">
            <v>Phocoena sinus</v>
          </cell>
          <cell r="K64" t="str">
            <v>vaquita</v>
          </cell>
          <cell r="L64">
            <v>42100</v>
          </cell>
        </row>
        <row r="65">
          <cell r="J65" t="str">
            <v>Phocoena phocoena</v>
          </cell>
          <cell r="K65" t="str">
            <v>harbor porpoise</v>
          </cell>
          <cell r="L65">
            <v>9742</v>
          </cell>
        </row>
        <row r="66">
          <cell r="J66" t="str">
            <v>Tursiops truncatus</v>
          </cell>
          <cell r="K66" t="str">
            <v>bottlenose dolphin</v>
          </cell>
          <cell r="L66">
            <v>9739</v>
          </cell>
        </row>
        <row r="67">
          <cell r="J67" t="str">
            <v>Pseudorca crassidens</v>
          </cell>
          <cell r="K67" t="str">
            <v>false killer whale</v>
          </cell>
          <cell r="L67">
            <v>82174</v>
          </cell>
        </row>
        <row r="68">
          <cell r="J68" t="str">
            <v>Peponocephala electra</v>
          </cell>
          <cell r="K68" t="str">
            <v>melon-headed whale</v>
          </cell>
          <cell r="L68">
            <v>103596</v>
          </cell>
        </row>
        <row r="69">
          <cell r="J69" t="str">
            <v>Leucopleurus acutus</v>
          </cell>
          <cell r="K69" t="str">
            <v>Atlantic white-sided dolphin</v>
          </cell>
          <cell r="L69">
            <v>90246</v>
          </cell>
        </row>
        <row r="70">
          <cell r="J70" t="str">
            <v>Orcinus orca</v>
          </cell>
          <cell r="K70" t="str">
            <v>killer whale</v>
          </cell>
          <cell r="L70">
            <v>9733</v>
          </cell>
        </row>
        <row r="71">
          <cell r="J71" t="str">
            <v>Lagenorhynchus albirostris</v>
          </cell>
          <cell r="K71" t="str">
            <v>white-beaked dolphin</v>
          </cell>
          <cell r="L71">
            <v>27610</v>
          </cell>
        </row>
        <row r="72">
          <cell r="J72" t="str">
            <v>Globicephala melas</v>
          </cell>
          <cell r="K72" t="str">
            <v>long-finned pilot whale</v>
          </cell>
          <cell r="L72">
            <v>9731</v>
          </cell>
        </row>
        <row r="73">
          <cell r="J73" t="str">
            <v>Grampus griseus</v>
          </cell>
          <cell r="K73" t="str">
            <v>Risso's dolphin</v>
          </cell>
          <cell r="L73">
            <v>83653</v>
          </cell>
        </row>
        <row r="74">
          <cell r="J74" t="str">
            <v>Inia geoffrensis</v>
          </cell>
          <cell r="K74" t="str">
            <v>Amazon river dolphin</v>
          </cell>
          <cell r="L74">
            <v>9725</v>
          </cell>
        </row>
        <row r="75">
          <cell r="J75" t="str">
            <v>Delphinus delphis</v>
          </cell>
          <cell r="K75" t="str">
            <v>saddleback dolphin</v>
          </cell>
          <cell r="L75">
            <v>9728</v>
          </cell>
        </row>
        <row r="76">
          <cell r="J76" t="str">
            <v>Balaenoptera musculus</v>
          </cell>
          <cell r="K76" t="str">
            <v>blue whale</v>
          </cell>
          <cell r="L76">
            <v>9771</v>
          </cell>
        </row>
        <row r="77">
          <cell r="J77" t="str">
            <v>Stenella coeruleoalba</v>
          </cell>
          <cell r="K77" t="str">
            <v>striped dolphin</v>
          </cell>
          <cell r="L77">
            <v>9737</v>
          </cell>
        </row>
        <row r="78">
          <cell r="J78" t="str">
            <v>Eschrichtius robustus</v>
          </cell>
          <cell r="K78" t="str">
            <v>gray whale</v>
          </cell>
          <cell r="L78">
            <v>9764</v>
          </cell>
        </row>
        <row r="79">
          <cell r="J79" t="str">
            <v>Balaenoptera ricei</v>
          </cell>
          <cell r="K79" t="str">
            <v>Rice's whale</v>
          </cell>
          <cell r="L79">
            <v>2746895</v>
          </cell>
        </row>
        <row r="80">
          <cell r="J80" t="str">
            <v>Balaenoptera acutorostrata</v>
          </cell>
          <cell r="K80" t="str">
            <v>common minke whale</v>
          </cell>
          <cell r="L80">
            <v>9767</v>
          </cell>
        </row>
        <row r="81">
          <cell r="J81" t="str">
            <v>Megaptera novaeangliae</v>
          </cell>
          <cell r="K81" t="str">
            <v>humpback whale</v>
          </cell>
          <cell r="L81">
            <v>9773</v>
          </cell>
        </row>
        <row r="82">
          <cell r="J82" t="str">
            <v>Balaenoptera physalus</v>
          </cell>
          <cell r="K82" t="str">
            <v>finback whale</v>
          </cell>
          <cell r="L82">
            <v>9770</v>
          </cell>
        </row>
        <row r="83">
          <cell r="J83" t="str">
            <v>Balaenoptera borealis</v>
          </cell>
          <cell r="K83" t="str">
            <v>sei whale</v>
          </cell>
          <cell r="L83">
            <v>9768</v>
          </cell>
        </row>
        <row r="84">
          <cell r="J84" t="str">
            <v>Mesoplodon densirostris</v>
          </cell>
          <cell r="K84" t="str">
            <v>Blainville's beaked whale</v>
          </cell>
          <cell r="L84">
            <v>48708</v>
          </cell>
        </row>
        <row r="85">
          <cell r="J85" t="str">
            <v>Mesoplodon bidens</v>
          </cell>
          <cell r="K85" t="str">
            <v>Sowerby's beaked whale</v>
          </cell>
          <cell r="L85">
            <v>48745</v>
          </cell>
        </row>
        <row r="86">
          <cell r="J86" t="str">
            <v>Mesoplodon mirus</v>
          </cell>
          <cell r="K86" t="str">
            <v>True's beaked whale</v>
          </cell>
          <cell r="L86">
            <v>52113</v>
          </cell>
        </row>
        <row r="87">
          <cell r="J87" t="str">
            <v>Hyperoodon ampullatus</v>
          </cell>
          <cell r="K87" t="str">
            <v>North Atlantic bottlenose whale</v>
          </cell>
          <cell r="L87">
            <v>48744</v>
          </cell>
        </row>
        <row r="88">
          <cell r="J88" t="str">
            <v>Kogia breviceps</v>
          </cell>
          <cell r="K88" t="str">
            <v>pygmy sperm whale</v>
          </cell>
          <cell r="L88">
            <v>27615</v>
          </cell>
        </row>
        <row r="89">
          <cell r="J89" t="str">
            <v>Eubalaena glacialis</v>
          </cell>
          <cell r="K89" t="str">
            <v>North Atlantic right whale</v>
          </cell>
          <cell r="L89">
            <v>27606</v>
          </cell>
        </row>
        <row r="90">
          <cell r="J90" t="str">
            <v>Monodon monocero</v>
          </cell>
          <cell r="K90" t="str">
            <v>narwhal</v>
          </cell>
          <cell r="L90">
            <v>40151</v>
          </cell>
        </row>
        <row r="91">
          <cell r="J91" t="str">
            <v>Hippopotamus amphibius</v>
          </cell>
          <cell r="K91" t="str">
            <v>common hippopotamus</v>
          </cell>
          <cell r="L91">
            <v>9833</v>
          </cell>
        </row>
        <row r="92">
          <cell r="J92" t="str">
            <v>Ovis canadensis</v>
          </cell>
          <cell r="K92" t="str">
            <v>bighorn sheep</v>
          </cell>
          <cell r="L92">
            <v>37174</v>
          </cell>
        </row>
        <row r="93">
          <cell r="J93" t="str">
            <v>Ovis aries</v>
          </cell>
          <cell r="K93" t="str">
            <v>domestic sheep</v>
          </cell>
          <cell r="L93">
            <v>9940</v>
          </cell>
        </row>
        <row r="94">
          <cell r="J94" t="str">
            <v>Bos taurus</v>
          </cell>
          <cell r="K94" t="str">
            <v>Brahman cow</v>
          </cell>
          <cell r="L94">
            <v>9913</v>
          </cell>
        </row>
        <row r="95">
          <cell r="J95" t="str">
            <v>Cephalophula zebra</v>
          </cell>
          <cell r="K95" t="str">
            <v>zebra duiker</v>
          </cell>
          <cell r="L95">
            <v>129233</v>
          </cell>
        </row>
        <row r="96">
          <cell r="J96" t="str">
            <v>Capra hircus</v>
          </cell>
          <cell r="K96" t="str">
            <v>goat</v>
          </cell>
          <cell r="L96">
            <v>9925</v>
          </cell>
        </row>
        <row r="97">
          <cell r="J97" t="str">
            <v>Cervus elaphus</v>
          </cell>
          <cell r="K97" t="str">
            <v>red deer</v>
          </cell>
          <cell r="L97">
            <v>9860</v>
          </cell>
        </row>
        <row r="98">
          <cell r="J98" t="str">
            <v>Muntiacus reevesi</v>
          </cell>
          <cell r="K98" t="str">
            <v>Reeves' muntjac</v>
          </cell>
          <cell r="L98">
            <v>9886</v>
          </cell>
        </row>
        <row r="99">
          <cell r="J99" t="str">
            <v>Dama dama</v>
          </cell>
          <cell r="K99" t="str">
            <v>fallow deer</v>
          </cell>
          <cell r="L99">
            <v>30532</v>
          </cell>
        </row>
        <row r="100">
          <cell r="J100" t="str">
            <v>Sus scrofa</v>
          </cell>
          <cell r="K100" t="str">
            <v>pig</v>
          </cell>
          <cell r="L100">
            <v>9823</v>
          </cell>
        </row>
        <row r="101">
          <cell r="J101" t="str">
            <v>Babyrousa celebensis</v>
          </cell>
          <cell r="K101" t="str">
            <v>North Sulawesi babirusa</v>
          </cell>
          <cell r="L101">
            <v>1303000</v>
          </cell>
        </row>
        <row r="102">
          <cell r="J102" t="str">
            <v>Camelus dromedarius</v>
          </cell>
          <cell r="K102" t="str">
            <v>Dromedary camel</v>
          </cell>
          <cell r="L102">
            <v>9838</v>
          </cell>
        </row>
        <row r="103">
          <cell r="J103" t="str">
            <v>Vicugna pacos</v>
          </cell>
          <cell r="K103" t="str">
            <v>Alpaca</v>
          </cell>
          <cell r="L103">
            <v>30538</v>
          </cell>
        </row>
        <row r="104">
          <cell r="J104" t="str">
            <v>Equus caballus</v>
          </cell>
          <cell r="K104" t="str">
            <v>Arabian horse</v>
          </cell>
          <cell r="L104">
            <v>9796</v>
          </cell>
        </row>
        <row r="105">
          <cell r="J105" t="str">
            <v>Equus grevyi</v>
          </cell>
          <cell r="K105" t="str">
            <v>Grevy's zebra</v>
          </cell>
        </row>
        <row r="106">
          <cell r="J106" t="str">
            <v>Diceros bicornis minor</v>
          </cell>
          <cell r="K106" t="str">
            <v>Southern black rhinoceros</v>
          </cell>
          <cell r="L106">
            <v>77932</v>
          </cell>
        </row>
        <row r="107">
          <cell r="J107" t="str">
            <v>Tapirus indicus</v>
          </cell>
          <cell r="K107" t="str">
            <v>Malayan tapir</v>
          </cell>
          <cell r="L107">
            <v>9802</v>
          </cell>
        </row>
        <row r="108">
          <cell r="J108" t="str">
            <v>Phyllostomus discolor</v>
          </cell>
          <cell r="K108" t="str">
            <v>pale spear-nosed bat</v>
          </cell>
          <cell r="L108">
            <v>89673</v>
          </cell>
        </row>
        <row r="109">
          <cell r="J109" t="str">
            <v>Artibeus lituratus</v>
          </cell>
          <cell r="K109" t="str">
            <v>great fruit-eating bat</v>
          </cell>
          <cell r="L109">
            <v>27634</v>
          </cell>
        </row>
        <row r="110">
          <cell r="J110" t="str">
            <v>Artibeus intermedius</v>
          </cell>
          <cell r="K110" t="str">
            <v>intermediate fruit-eating bat</v>
          </cell>
          <cell r="L110">
            <v>51014</v>
          </cell>
        </row>
        <row r="111">
          <cell r="J111" t="str">
            <v>Glossophaga mutica</v>
          </cell>
          <cell r="K111" t="str">
            <v>Merriam's long-tongued bat</v>
          </cell>
          <cell r="L111">
            <v>2994998</v>
          </cell>
        </row>
        <row r="112">
          <cell r="J112" t="str">
            <v>Lophostoma evotis</v>
          </cell>
          <cell r="K112" t="str">
            <v>Davis's round-eared bat</v>
          </cell>
          <cell r="L112">
            <v>574022</v>
          </cell>
        </row>
        <row r="113">
          <cell r="J113" t="str">
            <v>Micronycteris microtis</v>
          </cell>
          <cell r="K113" t="str">
            <v>common big-eared bat</v>
          </cell>
          <cell r="L113">
            <v>249008</v>
          </cell>
        </row>
        <row r="114">
          <cell r="J114" t="str">
            <v>Platyrrhinus helleri</v>
          </cell>
          <cell r="K114" t="str">
            <v>Heller's broad-nosed bat</v>
          </cell>
          <cell r="L114">
            <v>27658</v>
          </cell>
        </row>
        <row r="115">
          <cell r="J115" t="str">
            <v>Sturnira parvidens</v>
          </cell>
          <cell r="K115" t="str">
            <v>little yellow-shouldered Mesoamerican bat</v>
          </cell>
          <cell r="L115">
            <v>196700</v>
          </cell>
        </row>
        <row r="116">
          <cell r="J116" t="str">
            <v>Desmodus rotundus</v>
          </cell>
          <cell r="K116" t="str">
            <v>common vampire bat</v>
          </cell>
          <cell r="L116">
            <v>9430</v>
          </cell>
        </row>
        <row r="117">
          <cell r="J117" t="str">
            <v>Lophostoma evotis</v>
          </cell>
          <cell r="K117" t="str">
            <v>Davis's round-eared bat</v>
          </cell>
          <cell r="L117">
            <v>574022</v>
          </cell>
        </row>
        <row r="118">
          <cell r="J118" t="str">
            <v>Micronycteris microtis</v>
          </cell>
          <cell r="K118" t="str">
            <v>common big-eared bat</v>
          </cell>
          <cell r="L118">
            <v>249008</v>
          </cell>
        </row>
        <row r="119">
          <cell r="J119" t="str">
            <v>Carollia sowelli</v>
          </cell>
          <cell r="K119" t="str">
            <v>Sowell's short-tailed bat</v>
          </cell>
          <cell r="L119">
            <v>208969</v>
          </cell>
        </row>
        <row r="120">
          <cell r="J120" t="str">
            <v xml:space="preserve">Molossus alvarezi </v>
          </cell>
          <cell r="K120" t="str">
            <v>Alvarez's mastiff bat</v>
          </cell>
          <cell r="L120">
            <v>1552295</v>
          </cell>
        </row>
        <row r="121">
          <cell r="J121" t="str">
            <v>Molossus molossus</v>
          </cell>
          <cell r="K121" t="str">
            <v>Pallas's mastiff bat</v>
          </cell>
          <cell r="L121">
            <v>27622</v>
          </cell>
        </row>
        <row r="122">
          <cell r="J122" t="str">
            <v>Molossus nigricans</v>
          </cell>
          <cell r="K122" t="str">
            <v>Ebon mastiff bat</v>
          </cell>
          <cell r="L122">
            <v>2997257</v>
          </cell>
        </row>
        <row r="123">
          <cell r="J123" t="str">
            <v>Tadarida brasiliensis</v>
          </cell>
          <cell r="K123" t="str">
            <v>Brazilian free-tailed bat</v>
          </cell>
          <cell r="L123">
            <v>9438</v>
          </cell>
        </row>
        <row r="124">
          <cell r="J124" t="str">
            <v>Mops condylurus</v>
          </cell>
          <cell r="K124" t="str">
            <v>Angolan free-tailed bat</v>
          </cell>
          <cell r="L124">
            <v>258863</v>
          </cell>
        </row>
        <row r="125">
          <cell r="J125" t="str">
            <v>Myotis myotis</v>
          </cell>
          <cell r="K125" t="str">
            <v>greater mouse-eared bat</v>
          </cell>
          <cell r="L125">
            <v>51298</v>
          </cell>
        </row>
        <row r="126">
          <cell r="J126" t="str">
            <v>Myotis daubentonii</v>
          </cell>
          <cell r="K126" t="str">
            <v>Daubenton's bat</v>
          </cell>
          <cell r="L126">
            <v>98922</v>
          </cell>
        </row>
        <row r="127">
          <cell r="J127" t="str">
            <v>Myotis nigricans</v>
          </cell>
          <cell r="K127" t="str">
            <v>black myotis</v>
          </cell>
          <cell r="L127">
            <v>153286</v>
          </cell>
        </row>
        <row r="128">
          <cell r="J128" t="str">
            <v>Myotis mystacinus</v>
          </cell>
          <cell r="K128" t="str">
            <v>whiskered bat</v>
          </cell>
          <cell r="L128">
            <v>109479</v>
          </cell>
        </row>
        <row r="129">
          <cell r="J129" t="str">
            <v>Myotis nattereri</v>
          </cell>
          <cell r="K129" t="str">
            <v>Natterer's bat</v>
          </cell>
          <cell r="L129">
            <v>109481</v>
          </cell>
        </row>
        <row r="130">
          <cell r="J130" t="str">
            <v>Myotis emarginatus</v>
          </cell>
          <cell r="K130" t="str">
            <v>Geoffroy's bat</v>
          </cell>
          <cell r="L130">
            <v>109480</v>
          </cell>
        </row>
        <row r="131">
          <cell r="J131" t="str">
            <v>Pipistrellus kuhlii</v>
          </cell>
          <cell r="K131" t="str">
            <v>Kuhl's pipistrelle</v>
          </cell>
          <cell r="L131">
            <v>59472</v>
          </cell>
        </row>
        <row r="132">
          <cell r="J132" t="str">
            <v>Pipistrellus pipistrellus</v>
          </cell>
          <cell r="K132" t="str">
            <v>common pipistrelle</v>
          </cell>
          <cell r="L132">
            <v>59474</v>
          </cell>
        </row>
        <row r="133">
          <cell r="J133" t="str">
            <v>Pipistrellus pygmaeus</v>
          </cell>
          <cell r="K133" t="str">
            <v>soprano pipistrelle</v>
          </cell>
          <cell r="L133">
            <v>246814</v>
          </cell>
        </row>
        <row r="134">
          <cell r="J134" t="str">
            <v>Pipistrellus nathusii</v>
          </cell>
          <cell r="K134" t="str">
            <v>Nathusius's pipistrelle</v>
          </cell>
          <cell r="L134">
            <v>59473</v>
          </cell>
        </row>
        <row r="135">
          <cell r="J135" t="str">
            <v>Pipistrellus hanaki</v>
          </cell>
          <cell r="K135" t="str">
            <v>Hanaki's dwarf bat</v>
          </cell>
          <cell r="L135">
            <v>412090</v>
          </cell>
        </row>
        <row r="136">
          <cell r="J136" t="str">
            <v xml:space="preserve">Cnephaeus nilssonii </v>
          </cell>
          <cell r="K136" t="str">
            <v>northern bat</v>
          </cell>
          <cell r="L136">
            <v>59451</v>
          </cell>
        </row>
        <row r="137">
          <cell r="J137" t="str">
            <v>Eptesicus fuscus</v>
          </cell>
          <cell r="K137" t="str">
            <v>big brown bat</v>
          </cell>
          <cell r="L137">
            <v>29078</v>
          </cell>
        </row>
        <row r="138">
          <cell r="J138" t="str">
            <v>Plecotus auritus</v>
          </cell>
          <cell r="K138" t="str">
            <v>brown big-eared bat</v>
          </cell>
          <cell r="L138">
            <v>61862</v>
          </cell>
        </row>
        <row r="139">
          <cell r="J139" t="str">
            <v>Rhynchonycteris naso</v>
          </cell>
          <cell r="K139" t="str">
            <v>proboscis bat</v>
          </cell>
          <cell r="L139">
            <v>249017</v>
          </cell>
        </row>
        <row r="140">
          <cell r="J140" t="str">
            <v>Antrozous pallidus</v>
          </cell>
          <cell r="K140" t="str">
            <v>pallid bat</v>
          </cell>
          <cell r="L140">
            <v>9440</v>
          </cell>
        </row>
        <row r="141">
          <cell r="J141" t="str">
            <v>Corynorhinus townsendii</v>
          </cell>
          <cell r="K141" t="str">
            <v>Townsend's big-eared bat</v>
          </cell>
          <cell r="L141">
            <v>124745</v>
          </cell>
        </row>
        <row r="142">
          <cell r="J142" t="str">
            <v>Vespertilio murinus</v>
          </cell>
          <cell r="K142" t="str">
            <v>particolored bat</v>
          </cell>
          <cell r="L142">
            <v>59485</v>
          </cell>
        </row>
        <row r="143">
          <cell r="J143" t="str">
            <v>Nyctalus leisleri</v>
          </cell>
          <cell r="K143" t="str">
            <v>lesser noctule</v>
          </cell>
          <cell r="L143">
            <v>59465</v>
          </cell>
        </row>
        <row r="144">
          <cell r="J144" t="str">
            <v>Miniopterus schreibersii</v>
          </cell>
          <cell r="K144" t="str">
            <v>Schreibers' long-fingered bat</v>
          </cell>
          <cell r="L144">
            <v>9433</v>
          </cell>
        </row>
        <row r="145">
          <cell r="J145" t="str">
            <v>Saccopteryx leptura</v>
          </cell>
          <cell r="K145" t="str">
            <v>lesser sac-winged bat</v>
          </cell>
          <cell r="L145">
            <v>249018</v>
          </cell>
        </row>
        <row r="146">
          <cell r="J146" t="str">
            <v>Saccopteryx bilineata</v>
          </cell>
          <cell r="K146" t="str">
            <v>greater sac-winged bat</v>
          </cell>
          <cell r="L146">
            <v>59482</v>
          </cell>
        </row>
        <row r="147">
          <cell r="J147" t="str">
            <v>Rhinolophus ferrumequinum</v>
          </cell>
          <cell r="K147" t="str">
            <v>greater horseshoe bat</v>
          </cell>
          <cell r="L147">
            <v>59479</v>
          </cell>
        </row>
        <row r="148">
          <cell r="J148" t="str">
            <v>Rhinolophus hipposideros</v>
          </cell>
          <cell r="K148" t="str">
            <v>lesser horseshoe bat</v>
          </cell>
          <cell r="L148">
            <v>77218</v>
          </cell>
        </row>
        <row r="149">
          <cell r="J149" t="str">
            <v>Rhinolophus trifoliatus</v>
          </cell>
          <cell r="K149" t="str">
            <v>trefoil horseshoe bat</v>
          </cell>
          <cell r="L149">
            <v>430492</v>
          </cell>
        </row>
        <row r="150">
          <cell r="J150" t="str">
            <v>Rhinolophus yonghoiseni</v>
          </cell>
          <cell r="K150" t="str">
            <v>Yong hoi sen's woolly horseshoe bat</v>
          </cell>
          <cell r="L150">
            <v>2952509</v>
          </cell>
        </row>
        <row r="151">
          <cell r="J151" t="str">
            <v>Rhinolophus affinis</v>
          </cell>
          <cell r="K151" t="str">
            <v>intermediate horseshoe bat</v>
          </cell>
          <cell r="L151">
            <v>59477</v>
          </cell>
        </row>
        <row r="152">
          <cell r="J152" t="str">
            <v>Rhinolophus perniger lanosus</v>
          </cell>
          <cell r="K152" t="str">
            <v>Northern woolly horseshoe bat</v>
          </cell>
          <cell r="L152">
            <v>3030661</v>
          </cell>
        </row>
        <row r="153">
          <cell r="J153" t="str">
            <v>Rousettus aegyptiacus</v>
          </cell>
          <cell r="K153" t="str">
            <v>Egyptian fruit bat</v>
          </cell>
          <cell r="L153">
            <v>9407</v>
          </cell>
        </row>
        <row r="154">
          <cell r="J154" t="str">
            <v>Hipposideros larvatus</v>
          </cell>
          <cell r="K154" t="str">
            <v>intermediate roundleaf bat</v>
          </cell>
          <cell r="L154">
            <v>175524</v>
          </cell>
        </row>
        <row r="155">
          <cell r="J155" t="str">
            <v>Doryrhina cyclops</v>
          </cell>
          <cell r="K155" t="str">
            <v>Cyclops roundleaf bat</v>
          </cell>
          <cell r="L155">
            <v>249021</v>
          </cell>
        </row>
        <row r="156">
          <cell r="J156" t="str">
            <v>Aselliscus stoliczkanus</v>
          </cell>
          <cell r="K156" t="str">
            <v>Stoliczka's trident bat</v>
          </cell>
          <cell r="L156">
            <v>188568</v>
          </cell>
        </row>
        <row r="157">
          <cell r="J157" t="str">
            <v>Rhinopoma microphyllum</v>
          </cell>
          <cell r="K157" t="str">
            <v>Greater mouse-tailed bat</v>
          </cell>
          <cell r="L157">
            <v>173903</v>
          </cell>
        </row>
        <row r="158">
          <cell r="J158" t="str">
            <v>Rhinopoma cystops</v>
          </cell>
          <cell r="K158" t="str">
            <v>Egyptian mouse-tailed bat</v>
          </cell>
          <cell r="L158">
            <v>1034335</v>
          </cell>
        </row>
        <row r="159">
          <cell r="J159" t="str">
            <v>Megaderma spasma</v>
          </cell>
          <cell r="K159" t="str">
            <v>Lesser false vampire bat</v>
          </cell>
          <cell r="L159">
            <v>9414</v>
          </cell>
        </row>
        <row r="160">
          <cell r="J160" t="str">
            <v>Lutra lutra</v>
          </cell>
          <cell r="K160" t="str">
            <v>Eurasian otter</v>
          </cell>
          <cell r="L160">
            <v>9657</v>
          </cell>
        </row>
        <row r="161">
          <cell r="J161" t="str">
            <v>Mustela erminea</v>
          </cell>
          <cell r="K161" t="str">
            <v>stout</v>
          </cell>
          <cell r="L161">
            <v>36723</v>
          </cell>
        </row>
        <row r="162">
          <cell r="J162" t="str">
            <v>Mustela lutreola</v>
          </cell>
          <cell r="K162" t="str">
            <v>European mink</v>
          </cell>
          <cell r="L162">
            <v>9666</v>
          </cell>
        </row>
        <row r="163">
          <cell r="J163" t="str">
            <v>Mustela nivalis vulgaris</v>
          </cell>
          <cell r="K163" t="str">
            <v xml:space="preserve">least weasel </v>
          </cell>
          <cell r="L163">
            <v>36239</v>
          </cell>
        </row>
        <row r="164">
          <cell r="J164" t="str">
            <v>Neogale vison</v>
          </cell>
          <cell r="K164" t="str">
            <v>American mink</v>
          </cell>
          <cell r="L164">
            <v>452646</v>
          </cell>
        </row>
        <row r="165">
          <cell r="J165" t="str">
            <v>Martes martes</v>
          </cell>
          <cell r="K165" t="str">
            <v>European pine marten</v>
          </cell>
          <cell r="L165">
            <v>29065</v>
          </cell>
        </row>
        <row r="166">
          <cell r="J166" t="str">
            <v>Meles meles</v>
          </cell>
          <cell r="K166" t="str">
            <v>European badger</v>
          </cell>
          <cell r="L166">
            <v>9662</v>
          </cell>
        </row>
        <row r="167">
          <cell r="J167" t="str">
            <v>Canis lupus orion</v>
          </cell>
          <cell r="K167" t="str">
            <v>Greenland wolf</v>
          </cell>
          <cell r="L167">
            <v>2605939</v>
          </cell>
        </row>
        <row r="168">
          <cell r="J168" t="str">
            <v>Canis lupus familiaris</v>
          </cell>
          <cell r="K168" t="str">
            <v>German shepherd dog</v>
          </cell>
          <cell r="L168">
            <v>9615</v>
          </cell>
        </row>
        <row r="169">
          <cell r="J169" t="str">
            <v>Canis lupus baileyi</v>
          </cell>
          <cell r="K169" t="str">
            <v>Mexican gray wolf</v>
          </cell>
          <cell r="L169">
            <v>143281</v>
          </cell>
        </row>
        <row r="170">
          <cell r="J170" t="str">
            <v>Speothos venaticus</v>
          </cell>
          <cell r="K170" t="str">
            <v>bush dog</v>
          </cell>
          <cell r="L170">
            <v>68741</v>
          </cell>
        </row>
        <row r="171">
          <cell r="J171" t="str">
            <v>Vulpes vulpes</v>
          </cell>
          <cell r="K171" t="str">
            <v>red fox</v>
          </cell>
          <cell r="L171">
            <v>9627</v>
          </cell>
        </row>
        <row r="172">
          <cell r="J172" t="str">
            <v>Lycaon pictus</v>
          </cell>
          <cell r="K172" t="str">
            <v>African hunting dog</v>
          </cell>
          <cell r="L172">
            <v>9622</v>
          </cell>
        </row>
        <row r="173">
          <cell r="J173" t="str">
            <v>Zalophus californianus</v>
          </cell>
          <cell r="K173" t="str">
            <v>California sea lion</v>
          </cell>
          <cell r="L173">
            <v>9704</v>
          </cell>
        </row>
        <row r="174">
          <cell r="J174" t="str">
            <v>Halichoerus grypus</v>
          </cell>
          <cell r="K174" t="str">
            <v>grey seal</v>
          </cell>
          <cell r="L174">
            <v>9711</v>
          </cell>
        </row>
        <row r="175">
          <cell r="J175" t="str">
            <v>Lynx canadensis</v>
          </cell>
          <cell r="K175" t="str">
            <v>Canada lynx</v>
          </cell>
          <cell r="L175">
            <v>61383</v>
          </cell>
        </row>
        <row r="176">
          <cell r="J176" t="str">
            <v>Neofelis nebulosa</v>
          </cell>
          <cell r="K176" t="str">
            <v>clouded leopard</v>
          </cell>
          <cell r="L176">
            <v>61452</v>
          </cell>
        </row>
        <row r="177">
          <cell r="J177" t="str">
            <v>Panthera onca</v>
          </cell>
          <cell r="K177" t="str">
            <v>jaguar</v>
          </cell>
          <cell r="L177">
            <v>9690</v>
          </cell>
        </row>
        <row r="178">
          <cell r="J178" t="str">
            <v>Manis pentadactyla</v>
          </cell>
          <cell r="K178" t="str">
            <v>Chinese pangolin</v>
          </cell>
          <cell r="L178">
            <v>143292</v>
          </cell>
        </row>
        <row r="179">
          <cell r="J179" t="str">
            <v>Suncus etruscus</v>
          </cell>
          <cell r="K179" t="str">
            <v>Etruscan shrew</v>
          </cell>
          <cell r="L179">
            <v>109475</v>
          </cell>
        </row>
        <row r="180">
          <cell r="J180" t="str">
            <v>Sorex araneus</v>
          </cell>
          <cell r="K180" t="str">
            <v>European shrew</v>
          </cell>
          <cell r="L180">
            <v>42254</v>
          </cell>
        </row>
        <row r="181">
          <cell r="J181" t="str">
            <v>Talpa europaea</v>
          </cell>
          <cell r="K181" t="str">
            <v>European mole</v>
          </cell>
          <cell r="L181">
            <v>9375</v>
          </cell>
        </row>
        <row r="182">
          <cell r="J182" t="str">
            <v>Erinaceus europaeus</v>
          </cell>
          <cell r="K182" t="str">
            <v>European hedgehog</v>
          </cell>
          <cell r="L182">
            <v>9365</v>
          </cell>
        </row>
        <row r="183">
          <cell r="J183" t="str">
            <v>Solenodon paradoxus</v>
          </cell>
          <cell r="K183" t="str">
            <v>Hispaniolan solenodon</v>
          </cell>
          <cell r="L183">
            <v>79805</v>
          </cell>
        </row>
        <row r="184">
          <cell r="J184" t="str">
            <v>Trichosurus vulpecula</v>
          </cell>
          <cell r="K184" t="str">
            <v>common brushtail possum</v>
          </cell>
          <cell r="L184">
            <v>9337</v>
          </cell>
        </row>
        <row r="185">
          <cell r="J185" t="str">
            <v>Macropus eugenii</v>
          </cell>
          <cell r="K185" t="str">
            <v>Tammar wallaby</v>
          </cell>
          <cell r="L185">
            <v>9315</v>
          </cell>
        </row>
        <row r="186">
          <cell r="J186" t="str">
            <v>Phascolarctos cinereus</v>
          </cell>
          <cell r="K186" t="str">
            <v>koala</v>
          </cell>
          <cell r="L186">
            <v>38626</v>
          </cell>
        </row>
        <row r="187">
          <cell r="J187" t="str">
            <v>Macrotis lagotis</v>
          </cell>
          <cell r="K187" t="str">
            <v>greater bilby</v>
          </cell>
          <cell r="L187">
            <v>92651</v>
          </cell>
        </row>
        <row r="188">
          <cell r="J188" t="str">
            <v>Sminthopsis crassicaudata</v>
          </cell>
          <cell r="K188" t="str">
            <v>fat-tailed dunnart</v>
          </cell>
          <cell r="L188">
            <v>9301</v>
          </cell>
        </row>
        <row r="189">
          <cell r="J189" t="str">
            <v>Sarcophilus harrisii</v>
          </cell>
          <cell r="K189" t="str">
            <v>Tasmanian devil</v>
          </cell>
          <cell r="L189">
            <v>9305</v>
          </cell>
        </row>
        <row r="190">
          <cell r="J190" t="str">
            <v>Dasyurus maculatus</v>
          </cell>
          <cell r="K190" t="str">
            <v>tiger quoll</v>
          </cell>
          <cell r="L190">
            <v>9281</v>
          </cell>
        </row>
        <row r="191">
          <cell r="J191" t="str">
            <v>Notoryctes typhlops</v>
          </cell>
          <cell r="K191" t="str">
            <v>Southern marsupial mole</v>
          </cell>
          <cell r="L191">
            <v>37699</v>
          </cell>
        </row>
        <row r="192">
          <cell r="J192" t="str">
            <v>Dromiciops gliroides</v>
          </cell>
          <cell r="K192" t="str">
            <v>monito del montes</v>
          </cell>
          <cell r="L192">
            <v>33562</v>
          </cell>
        </row>
        <row r="193">
          <cell r="J193" t="str">
            <v>Monodelphis domestica</v>
          </cell>
          <cell r="K193" t="str">
            <v>gray short-tailed opossum</v>
          </cell>
          <cell r="L193">
            <v>13616</v>
          </cell>
        </row>
        <row r="194">
          <cell r="J194" t="str">
            <v>Lestoros inca</v>
          </cell>
          <cell r="K194" t="str">
            <v>Incan caenolestid</v>
          </cell>
          <cell r="L194">
            <v>42731</v>
          </cell>
        </row>
        <row r="195">
          <cell r="J195" t="str">
            <v>Ornithorhynchus anatinus</v>
          </cell>
          <cell r="K195" t="str">
            <v>platypus</v>
          </cell>
          <cell r="L195">
            <v>9258</v>
          </cell>
        </row>
        <row r="196">
          <cell r="J196" t="str">
            <v>Tachyglossus aculeatus</v>
          </cell>
          <cell r="K196" t="str">
            <v>short-beaked echidna</v>
          </cell>
          <cell r="L196">
            <v>9261</v>
          </cell>
        </row>
        <row r="197">
          <cell r="J197" t="str">
            <v>Taeniopygia guttata</v>
          </cell>
          <cell r="K197" t="str">
            <v>zebra finch</v>
          </cell>
          <cell r="L197">
            <v>59729</v>
          </cell>
        </row>
        <row r="198">
          <cell r="J198" t="str">
            <v>Lonchura striata domestica</v>
          </cell>
          <cell r="K198" t="str">
            <v>Bengalese finch</v>
          </cell>
          <cell r="L198">
            <v>40157</v>
          </cell>
        </row>
        <row r="199">
          <cell r="J199" t="str">
            <v>Vidua chalybeata</v>
          </cell>
          <cell r="K199" t="str">
            <v>village indigobird</v>
          </cell>
          <cell r="L199">
            <v>81927</v>
          </cell>
        </row>
        <row r="200">
          <cell r="J200" t="str">
            <v>Haemorhous mexicanus</v>
          </cell>
          <cell r="K200" t="str">
            <v>house finch</v>
          </cell>
          <cell r="L200">
            <v>30427</v>
          </cell>
        </row>
        <row r="201">
          <cell r="J201" t="str">
            <v>Fringilla coelebs</v>
          </cell>
          <cell r="K201" t="str">
            <v>common chaffinch</v>
          </cell>
          <cell r="L201">
            <v>37598</v>
          </cell>
        </row>
        <row r="202">
          <cell r="J202" t="str">
            <v>Serinus canaria</v>
          </cell>
          <cell r="K202" t="str">
            <v>canary</v>
          </cell>
          <cell r="L202">
            <v>9135</v>
          </cell>
        </row>
        <row r="203">
          <cell r="J203" t="str">
            <v>Spinus tristis</v>
          </cell>
          <cell r="K203" t="str">
            <v>American goldfinch</v>
          </cell>
          <cell r="L203">
            <v>54773</v>
          </cell>
        </row>
        <row r="204">
          <cell r="J204" t="str">
            <v>Melospiza georgiana</v>
          </cell>
          <cell r="K204" t="str">
            <v>swamp sparrow</v>
          </cell>
          <cell r="L204">
            <v>44398</v>
          </cell>
        </row>
        <row r="205">
          <cell r="J205" t="str">
            <v>Melospiza melodia</v>
          </cell>
          <cell r="K205" t="str">
            <v>song sparrow</v>
          </cell>
          <cell r="L205">
            <v>44397</v>
          </cell>
        </row>
        <row r="206">
          <cell r="J206" t="str">
            <v>Ammodramus caudacutus</v>
          </cell>
          <cell r="K206" t="str">
            <v>saltmarsh sparrow</v>
          </cell>
          <cell r="L206">
            <v>2857398</v>
          </cell>
        </row>
        <row r="207">
          <cell r="J207" t="str">
            <v>Ammospiza nelsoni</v>
          </cell>
          <cell r="K207" t="str">
            <v>Nelson's sparrow</v>
          </cell>
          <cell r="L207">
            <v>2857394</v>
          </cell>
        </row>
        <row r="208">
          <cell r="J208" t="str">
            <v>Ammospiza maritima</v>
          </cell>
          <cell r="K208" t="str">
            <v>seaside sparrow</v>
          </cell>
          <cell r="L208">
            <v>2707177</v>
          </cell>
        </row>
        <row r="209">
          <cell r="J209" t="str">
            <v>Passerculus sandwichensis</v>
          </cell>
          <cell r="K209" t="str">
            <v>Savannah sparrow</v>
          </cell>
          <cell r="L209">
            <v>161624</v>
          </cell>
        </row>
        <row r="210">
          <cell r="J210" t="str">
            <v>Spizella passerina</v>
          </cell>
          <cell r="K210" t="str">
            <v>chipping sparrow</v>
          </cell>
          <cell r="L210">
            <v>40210</v>
          </cell>
        </row>
        <row r="211">
          <cell r="J211" t="str">
            <v>Zonotrichia albicollis</v>
          </cell>
          <cell r="K211" t="str">
            <v>white-throated sparrow</v>
          </cell>
          <cell r="L211">
            <v>44394</v>
          </cell>
        </row>
        <row r="212">
          <cell r="J212" t="str">
            <v>Passer domesticus</v>
          </cell>
          <cell r="K212" t="str">
            <v>house sparrow</v>
          </cell>
          <cell r="L212">
            <v>48849</v>
          </cell>
        </row>
        <row r="213">
          <cell r="J213" t="str">
            <v>Sylvia borin</v>
          </cell>
          <cell r="K213" t="str">
            <v>garden warbler</v>
          </cell>
          <cell r="L213">
            <v>73324</v>
          </cell>
        </row>
        <row r="214">
          <cell r="J214" t="str">
            <v>Sylvia atricapilla</v>
          </cell>
          <cell r="K214" t="str">
            <v>European blackcap</v>
          </cell>
          <cell r="L214">
            <v>48155</v>
          </cell>
        </row>
        <row r="215">
          <cell r="J215" t="str">
            <v>Hirundo rustica</v>
          </cell>
          <cell r="K215" t="str">
            <v>barn swallow</v>
          </cell>
          <cell r="L215">
            <v>43150</v>
          </cell>
        </row>
        <row r="216">
          <cell r="J216" t="str">
            <v>Zosterops lateralis</v>
          </cell>
          <cell r="K216" t="str">
            <v>silver-eye</v>
          </cell>
          <cell r="L216">
            <v>43581</v>
          </cell>
        </row>
        <row r="217">
          <cell r="J217" t="str">
            <v>Geothlypis trichas</v>
          </cell>
          <cell r="K217" t="str">
            <v>common yellowthroat</v>
          </cell>
          <cell r="L217">
            <v>135433</v>
          </cell>
        </row>
        <row r="218">
          <cell r="J218" t="str">
            <v>Turdus migratorius</v>
          </cell>
          <cell r="K218" t="str">
            <v>American robin</v>
          </cell>
          <cell r="L218">
            <v>9188</v>
          </cell>
        </row>
        <row r="219">
          <cell r="J219" t="str">
            <v>Erithacus rubecula</v>
          </cell>
          <cell r="K219" t="str">
            <v>European robin</v>
          </cell>
          <cell r="L219">
            <v>37610</v>
          </cell>
        </row>
        <row r="220">
          <cell r="J220" t="str">
            <v>Catharus ustulatus</v>
          </cell>
          <cell r="K220" t="str">
            <v>Swainson's thrush</v>
          </cell>
          <cell r="L220">
            <v>91951</v>
          </cell>
        </row>
        <row r="221">
          <cell r="J221" t="str">
            <v>Poecile atricapillus</v>
          </cell>
          <cell r="K221" t="str">
            <v>black-capped chickadee</v>
          </cell>
          <cell r="L221">
            <v>48891</v>
          </cell>
        </row>
        <row r="222">
          <cell r="J222" t="str">
            <v>Oenanthe melanoleuca</v>
          </cell>
          <cell r="K222" t="str">
            <v>eastern black-eared wheatear</v>
          </cell>
          <cell r="L222">
            <v>2939378</v>
          </cell>
        </row>
        <row r="223">
          <cell r="J223" t="str">
            <v>Copsychus sechellarum</v>
          </cell>
          <cell r="K223" t="str">
            <v>Seychelles magpie-robin</v>
          </cell>
          <cell r="L223">
            <v>797021</v>
          </cell>
        </row>
        <row r="224">
          <cell r="J224" t="str">
            <v>Dumetella carolinensis</v>
          </cell>
          <cell r="K224" t="str">
            <v>grey catbird</v>
          </cell>
          <cell r="L224">
            <v>111981</v>
          </cell>
        </row>
        <row r="225">
          <cell r="J225" t="str">
            <v>Cinclus cinclus</v>
          </cell>
          <cell r="K225" t="str">
            <v>white-throated dipper</v>
          </cell>
          <cell r="L225">
            <v>127875</v>
          </cell>
        </row>
        <row r="226">
          <cell r="J226" t="str">
            <v>Troglodytes aedon</v>
          </cell>
          <cell r="K226" t="str">
            <v>house wren</v>
          </cell>
          <cell r="L226">
            <v>58211</v>
          </cell>
        </row>
        <row r="227">
          <cell r="J227" t="str">
            <v>Sitta carolinensis</v>
          </cell>
          <cell r="K227" t="str">
            <v>white-breasted nuthatch</v>
          </cell>
          <cell r="L227">
            <v>50250</v>
          </cell>
        </row>
        <row r="228">
          <cell r="J228" t="str">
            <v>Agelaius phoeniceus</v>
          </cell>
          <cell r="K228" t="str">
            <v>red-winged blackbird</v>
          </cell>
          <cell r="L228">
            <v>39638</v>
          </cell>
        </row>
        <row r="229">
          <cell r="J229" t="str">
            <v>Baeolophus bicolor</v>
          </cell>
          <cell r="K229" t="str">
            <v>tufted titmouse</v>
          </cell>
          <cell r="L229">
            <v>88114</v>
          </cell>
        </row>
        <row r="230">
          <cell r="J230" t="str">
            <v>Molothrus ater</v>
          </cell>
          <cell r="K230" t="str">
            <v>brown-headed cowbird</v>
          </cell>
          <cell r="L230">
            <v>84834</v>
          </cell>
        </row>
        <row r="231">
          <cell r="J231" t="str">
            <v>Sturnus vulgaris</v>
          </cell>
          <cell r="K231" t="str">
            <v>European starling</v>
          </cell>
          <cell r="L231">
            <v>9172</v>
          </cell>
        </row>
        <row r="232">
          <cell r="J232" t="str">
            <v>Acridotheres tristis</v>
          </cell>
          <cell r="K232" t="str">
            <v>common myna</v>
          </cell>
          <cell r="L232">
            <v>279927</v>
          </cell>
        </row>
        <row r="233">
          <cell r="J233" t="str">
            <v>Lycocorax pyrrhopterus</v>
          </cell>
          <cell r="K233" t="str">
            <v>paradise crow</v>
          </cell>
          <cell r="L233">
            <v>681192</v>
          </cell>
        </row>
        <row r="234">
          <cell r="J234" t="str">
            <v>Corvus hawaiiensis</v>
          </cell>
          <cell r="K234" t="str">
            <v>Hawaiian crow</v>
          </cell>
          <cell r="L234">
            <v>134902</v>
          </cell>
        </row>
        <row r="235">
          <cell r="J235" t="str">
            <v>Corvus moneduloides</v>
          </cell>
          <cell r="K235" t="str">
            <v>New Caledonian crow</v>
          </cell>
          <cell r="L235">
            <v>1196302</v>
          </cell>
        </row>
        <row r="236">
          <cell r="J236" t="str">
            <v>Cyanocitta cristata</v>
          </cell>
          <cell r="K236" t="str">
            <v>blue jay</v>
          </cell>
          <cell r="L236">
            <v>28727</v>
          </cell>
        </row>
        <row r="237">
          <cell r="J237" t="str">
            <v>Coloeus monedula</v>
          </cell>
          <cell r="K237" t="str">
            <v>Western jackdaw</v>
          </cell>
          <cell r="L237">
            <v>30423</v>
          </cell>
        </row>
        <row r="238">
          <cell r="J238" t="str">
            <v>Chiroxiphia lanceolata</v>
          </cell>
          <cell r="K238" t="str">
            <v>lanced-tailed manakin</v>
          </cell>
          <cell r="L238">
            <v>296741</v>
          </cell>
        </row>
        <row r="239">
          <cell r="J239" t="str">
            <v>Dixiphia pipra</v>
          </cell>
          <cell r="K239" t="str">
            <v>white-crowned manakin</v>
          </cell>
          <cell r="L239">
            <v>415032</v>
          </cell>
        </row>
        <row r="240">
          <cell r="J240" t="str">
            <v>Willisornis vidua</v>
          </cell>
          <cell r="K240" t="str">
            <v>Xingu scale-backed antbird</v>
          </cell>
          <cell r="L240">
            <v>1566151</v>
          </cell>
        </row>
        <row r="241">
          <cell r="J241" t="str">
            <v>Hypocnemis striata</v>
          </cell>
          <cell r="K241" t="str">
            <v>Spix's warbling antbird</v>
          </cell>
          <cell r="L241">
            <v>1202453</v>
          </cell>
        </row>
        <row r="242">
          <cell r="J242" t="str">
            <v>Acanthisitta chloris</v>
          </cell>
          <cell r="K242" t="str">
            <v>rifleman</v>
          </cell>
          <cell r="L242">
            <v>57068</v>
          </cell>
        </row>
        <row r="243">
          <cell r="J243" t="str">
            <v>Strigops habroptilus</v>
          </cell>
          <cell r="K243" t="str">
            <v>kakapo</v>
          </cell>
          <cell r="L243">
            <v>2489341</v>
          </cell>
        </row>
        <row r="244">
          <cell r="J244" t="str">
            <v>Melopsittacus undulatus</v>
          </cell>
          <cell r="K244" t="str">
            <v>budgerigar</v>
          </cell>
          <cell r="L244">
            <v>13146</v>
          </cell>
        </row>
        <row r="245">
          <cell r="J245" t="str">
            <v>Ara ararauna</v>
          </cell>
          <cell r="K245" t="str">
            <v>blue-and-gold macaw</v>
          </cell>
          <cell r="L245">
            <v>9226</v>
          </cell>
        </row>
        <row r="246">
          <cell r="J246" t="str">
            <v>Anodorhynchus hyacinthinus</v>
          </cell>
          <cell r="K246" t="str">
            <v>hyacinth macaw</v>
          </cell>
          <cell r="L246">
            <v>51900</v>
          </cell>
        </row>
        <row r="247">
          <cell r="J247" t="str">
            <v xml:space="preserve">Amazona ochrocephala </v>
          </cell>
          <cell r="K247" t="str">
            <v>yellow-crowned amazon</v>
          </cell>
          <cell r="L247">
            <v>151761</v>
          </cell>
        </row>
        <row r="248">
          <cell r="J248" t="str">
            <v>Lathamus discolor</v>
          </cell>
          <cell r="K248" t="str">
            <v>swift parrot</v>
          </cell>
          <cell r="L248">
            <v>678569</v>
          </cell>
        </row>
        <row r="249">
          <cell r="J249" t="str">
            <v>Guaruba guaruba</v>
          </cell>
          <cell r="K249" t="str">
            <v>golden parakeet</v>
          </cell>
          <cell r="L249">
            <v>51906</v>
          </cell>
        </row>
        <row r="250">
          <cell r="J250" t="str">
            <v>Psittacula echo</v>
          </cell>
          <cell r="K250" t="str">
            <v>Mauritius parakeet</v>
          </cell>
          <cell r="L250">
            <v>232653</v>
          </cell>
        </row>
        <row r="251">
          <cell r="J251" t="str">
            <v>Falco peregrinus</v>
          </cell>
          <cell r="K251" t="str">
            <v>peregrine falcon</v>
          </cell>
          <cell r="L251">
            <v>8954</v>
          </cell>
        </row>
        <row r="252">
          <cell r="J252" t="str">
            <v>Falco rusticolus</v>
          </cell>
          <cell r="K252" t="str">
            <v>gyrfalcon</v>
          </cell>
          <cell r="L252">
            <v>120794</v>
          </cell>
        </row>
        <row r="253">
          <cell r="J253" t="str">
            <v>Falco biarmicus</v>
          </cell>
          <cell r="K253" t="str">
            <v>Lanner falcon</v>
          </cell>
          <cell r="L253">
            <v>345155</v>
          </cell>
        </row>
        <row r="254">
          <cell r="J254" t="str">
            <v>Falco cherrug</v>
          </cell>
          <cell r="K254" t="str">
            <v>saker falcon</v>
          </cell>
          <cell r="L254">
            <v>345164</v>
          </cell>
        </row>
        <row r="255">
          <cell r="J255" t="str">
            <v>Falco naumanni</v>
          </cell>
          <cell r="K255" t="str">
            <v>lesser kestrel</v>
          </cell>
          <cell r="L255">
            <v>148594</v>
          </cell>
        </row>
        <row r="256">
          <cell r="J256" t="str">
            <v>Falco punctatus</v>
          </cell>
          <cell r="K256" t="str">
            <v>Mauritius kestrel</v>
          </cell>
          <cell r="L256">
            <v>148596</v>
          </cell>
        </row>
        <row r="257">
          <cell r="J257" t="str">
            <v>Cariama cristata</v>
          </cell>
          <cell r="K257" t="str">
            <v>red-legged seriema</v>
          </cell>
          <cell r="L257">
            <v>54380</v>
          </cell>
        </row>
        <row r="258">
          <cell r="J258" t="str">
            <v>Dryobates pubescens</v>
          </cell>
          <cell r="K258" t="str">
            <v>downy woodpecker</v>
          </cell>
          <cell r="L258">
            <v>118200</v>
          </cell>
        </row>
        <row r="259">
          <cell r="J259" t="str">
            <v>Pogoniulus pusillus</v>
          </cell>
          <cell r="K259" t="str">
            <v>red-fronted tinkerbird</v>
          </cell>
          <cell r="L259">
            <v>488313</v>
          </cell>
        </row>
        <row r="260">
          <cell r="J260" t="str">
            <v>Merops nubicus</v>
          </cell>
          <cell r="K260" t="str">
            <v>carmine bee-eater</v>
          </cell>
          <cell r="L260">
            <v>57421</v>
          </cell>
        </row>
        <row r="261">
          <cell r="J261" t="str">
            <v>Bucorvus abyssinicus</v>
          </cell>
          <cell r="K261" t="str">
            <v>Abyssinian ground hornbill</v>
          </cell>
          <cell r="L261">
            <v>153643</v>
          </cell>
        </row>
        <row r="262">
          <cell r="J262" t="str">
            <v>Trogon surrucura</v>
          </cell>
          <cell r="K262" t="str">
            <v>surucua trogon</v>
          </cell>
          <cell r="L262">
            <v>297711</v>
          </cell>
        </row>
        <row r="263">
          <cell r="J263" t="str">
            <v>Leptosomus discolor</v>
          </cell>
          <cell r="K263" t="str">
            <v>cuckoo-roller</v>
          </cell>
          <cell r="L263">
            <v>188344</v>
          </cell>
        </row>
        <row r="264">
          <cell r="J264" t="str">
            <v>Colius striatus</v>
          </cell>
          <cell r="K264" t="str">
            <v>speckled mousebird</v>
          </cell>
          <cell r="L264">
            <v>57412</v>
          </cell>
        </row>
        <row r="265">
          <cell r="J265" t="str">
            <v>Strix aluco</v>
          </cell>
          <cell r="K265" t="str">
            <v>tawny owl</v>
          </cell>
          <cell r="L265">
            <v>111821</v>
          </cell>
        </row>
        <row r="266">
          <cell r="J266" t="str">
            <v>Pulsatrix perspicillata</v>
          </cell>
          <cell r="K266" t="str">
            <v>spectacled owl</v>
          </cell>
          <cell r="L266">
            <v>111820</v>
          </cell>
        </row>
        <row r="267">
          <cell r="J267" t="str">
            <v>Athene noctua</v>
          </cell>
          <cell r="K267" t="str">
            <v>little owl</v>
          </cell>
          <cell r="L267">
            <v>126797</v>
          </cell>
        </row>
        <row r="268">
          <cell r="J268" t="str">
            <v>Aquila chrysaetos</v>
          </cell>
          <cell r="K268" t="str">
            <v>European golden eagle</v>
          </cell>
          <cell r="L268">
            <v>8962</v>
          </cell>
        </row>
        <row r="269">
          <cell r="J269" t="str">
            <v>Haliaeetus albicilla</v>
          </cell>
          <cell r="K269" t="str">
            <v>white-tailed eagle</v>
          </cell>
          <cell r="L269">
            <v>8969</v>
          </cell>
        </row>
        <row r="270">
          <cell r="J270" t="str">
            <v>Harpia harpyja</v>
          </cell>
          <cell r="K270" t="str">
            <v>harpy eagle</v>
          </cell>
          <cell r="L270">
            <v>202280</v>
          </cell>
        </row>
        <row r="271">
          <cell r="J271" t="str">
            <v>Morphnus guianensis</v>
          </cell>
          <cell r="K271" t="str">
            <v>crested eagle</v>
          </cell>
          <cell r="L271">
            <v>252789</v>
          </cell>
        </row>
        <row r="272">
          <cell r="J272" t="str">
            <v>Astur gentilis</v>
          </cell>
          <cell r="K272" t="str">
            <v>Northern goshawk</v>
          </cell>
          <cell r="L272">
            <v>8957</v>
          </cell>
        </row>
        <row r="273">
          <cell r="J273" t="str">
            <v>Gypaetus barbatus</v>
          </cell>
          <cell r="K273" t="str">
            <v>bearded vulture</v>
          </cell>
          <cell r="L273">
            <v>33610</v>
          </cell>
        </row>
        <row r="274">
          <cell r="J274" t="str">
            <v>Buteo buteo</v>
          </cell>
          <cell r="K274" t="str">
            <v>common buzzard</v>
          </cell>
          <cell r="L274">
            <v>30397</v>
          </cell>
        </row>
        <row r="275">
          <cell r="J275" t="str">
            <v>Sarcoramphus papa</v>
          </cell>
          <cell r="K275" t="str">
            <v>king vulture</v>
          </cell>
          <cell r="L275">
            <v>43583</v>
          </cell>
        </row>
        <row r="276">
          <cell r="J276" t="str">
            <v>Pelecanus crispus</v>
          </cell>
          <cell r="K276" t="str">
            <v>dalmatian pelican</v>
          </cell>
          <cell r="L276">
            <v>36300</v>
          </cell>
        </row>
        <row r="277">
          <cell r="J277" t="str">
            <v>Ardea goliath</v>
          </cell>
          <cell r="K277" t="str">
            <v>goliath heron</v>
          </cell>
          <cell r="L277">
            <v>2767355</v>
          </cell>
        </row>
        <row r="278">
          <cell r="J278" t="str">
            <v>Theristicus caerulescens</v>
          </cell>
          <cell r="K278" t="str">
            <v>plumbeous ibis</v>
          </cell>
          <cell r="L278">
            <v>1118847</v>
          </cell>
        </row>
        <row r="279">
          <cell r="J279" t="str">
            <v>Platalea leucorodia</v>
          </cell>
          <cell r="K279" t="str">
            <v>Eurasian spoonbill</v>
          </cell>
          <cell r="L279">
            <v>257867</v>
          </cell>
        </row>
        <row r="280">
          <cell r="J280" t="str">
            <v>Gulosus aristotelis</v>
          </cell>
          <cell r="K280" t="str">
            <v>European shag</v>
          </cell>
          <cell r="L280">
            <v>126867</v>
          </cell>
        </row>
        <row r="281">
          <cell r="J281" t="str">
            <v>Microcarbo africanus</v>
          </cell>
          <cell r="K281" t="str">
            <v>reed cormorant</v>
          </cell>
          <cell r="L281">
            <v>1523049</v>
          </cell>
        </row>
        <row r="282">
          <cell r="J282" t="str">
            <v>Phalacrocorax carbo</v>
          </cell>
          <cell r="K282" t="str">
            <v>great cormorant</v>
          </cell>
          <cell r="L282">
            <v>9209</v>
          </cell>
        </row>
        <row r="283">
          <cell r="J283" t="str">
            <v>Morus bassanus</v>
          </cell>
          <cell r="K283" t="str">
            <v>Northern gannet</v>
          </cell>
          <cell r="L283">
            <v>37578</v>
          </cell>
        </row>
        <row r="284">
          <cell r="J284" t="str">
            <v>Ciconia maguari</v>
          </cell>
          <cell r="K284" t="str">
            <v>Maguari stork</v>
          </cell>
          <cell r="L284">
            <v>52777</v>
          </cell>
        </row>
        <row r="285">
          <cell r="J285" t="str">
            <v>Calonectris borealis</v>
          </cell>
          <cell r="K285" t="str">
            <v>Cory's shearwater</v>
          </cell>
          <cell r="L285">
            <v>1323832</v>
          </cell>
        </row>
        <row r="286">
          <cell r="J286" t="str">
            <v>Spheniscus humboldti</v>
          </cell>
          <cell r="K286" t="str">
            <v>Humboldt penguin</v>
          </cell>
          <cell r="L286">
            <v>9240</v>
          </cell>
        </row>
        <row r="287">
          <cell r="J287" t="str">
            <v>Gavia stellata</v>
          </cell>
          <cell r="K287" t="str">
            <v>red-throated Loon</v>
          </cell>
          <cell r="L287">
            <v>37040</v>
          </cell>
        </row>
        <row r="288">
          <cell r="J288" t="str">
            <v>Phaethon aethereus</v>
          </cell>
          <cell r="K288" t="str">
            <v>red-billed tropicbird</v>
          </cell>
          <cell r="L288">
            <v>37045</v>
          </cell>
        </row>
        <row r="289">
          <cell r="J289" t="str">
            <v>Rhynochetos jubatus</v>
          </cell>
          <cell r="K289" t="str">
            <v>Kagu</v>
          </cell>
          <cell r="L289">
            <v>54386</v>
          </cell>
        </row>
        <row r="290">
          <cell r="J290" t="str">
            <v>Pluvialis apricaria</v>
          </cell>
          <cell r="K290" t="str">
            <v>European golden plover</v>
          </cell>
          <cell r="L290">
            <v>670352</v>
          </cell>
        </row>
        <row r="291">
          <cell r="J291" t="str">
            <v>Vanellus vanellus</v>
          </cell>
          <cell r="K291" t="str">
            <v>Northern Lapwing</v>
          </cell>
          <cell r="L291">
            <v>100859</v>
          </cell>
        </row>
        <row r="292">
          <cell r="J292" t="str">
            <v>Alca Torda</v>
          </cell>
          <cell r="K292" t="str">
            <v>razorbill</v>
          </cell>
          <cell r="L292">
            <v>28689</v>
          </cell>
        </row>
        <row r="293">
          <cell r="J293" t="str">
            <v>Numenius arquata</v>
          </cell>
          <cell r="K293" t="str">
            <v>Eurasian curlew</v>
          </cell>
          <cell r="L293">
            <v>31919</v>
          </cell>
        </row>
        <row r="294">
          <cell r="J294" t="str">
            <v>Sterna hirundo</v>
          </cell>
          <cell r="K294" t="str">
            <v>common tern</v>
          </cell>
          <cell r="L294">
            <v>108405</v>
          </cell>
        </row>
        <row r="295">
          <cell r="J295" t="str">
            <v>Rissa tridactyla</v>
          </cell>
          <cell r="K295" t="str">
            <v>black-legged kittiwake</v>
          </cell>
          <cell r="L295">
            <v>75485</v>
          </cell>
        </row>
        <row r="296">
          <cell r="J296" t="str">
            <v>Chroicocephalus ridibundus</v>
          </cell>
          <cell r="K296" t="str">
            <v>black-headed gull</v>
          </cell>
          <cell r="L296">
            <v>1192867</v>
          </cell>
        </row>
        <row r="297">
          <cell r="J297" t="str">
            <v>Larus fuscus</v>
          </cell>
          <cell r="K297" t="str">
            <v>lesser black-backed gull</v>
          </cell>
          <cell r="L297">
            <v>8915</v>
          </cell>
        </row>
        <row r="298">
          <cell r="J298" t="str">
            <v>Larus michahellis</v>
          </cell>
          <cell r="K298" t="str">
            <v>yellow-legged gull</v>
          </cell>
          <cell r="L298">
            <v>119627</v>
          </cell>
        </row>
        <row r="299">
          <cell r="J299" t="str">
            <v>Larus argentatus</v>
          </cell>
          <cell r="K299" t="str">
            <v>herring gull</v>
          </cell>
          <cell r="L299">
            <v>35669</v>
          </cell>
        </row>
        <row r="300">
          <cell r="J300" t="str">
            <v>Balearica regulorum gibbericeps</v>
          </cell>
          <cell r="K300" t="str">
            <v>grey crowned-crane</v>
          </cell>
          <cell r="L300">
            <v>100784</v>
          </cell>
        </row>
        <row r="301">
          <cell r="J301" t="str">
            <v>Grus americana</v>
          </cell>
          <cell r="K301" t="str">
            <v>whooping crane</v>
          </cell>
          <cell r="L301">
            <v>9117</v>
          </cell>
        </row>
        <row r="302">
          <cell r="J302" t="str">
            <v>Grus grus</v>
          </cell>
          <cell r="K302" t="str">
            <v>Eurasian crane</v>
          </cell>
          <cell r="L302">
            <v>40816</v>
          </cell>
        </row>
        <row r="303">
          <cell r="J303" t="str">
            <v>Porphyrio hochstetteri</v>
          </cell>
          <cell r="K303" t="str">
            <v>takahe</v>
          </cell>
          <cell r="L303">
            <v>439704</v>
          </cell>
        </row>
        <row r="304">
          <cell r="J304" t="str">
            <v>Gallinula chloropus</v>
          </cell>
          <cell r="K304" t="str">
            <v>common moorhen</v>
          </cell>
          <cell r="L304">
            <v>9123</v>
          </cell>
        </row>
        <row r="305">
          <cell r="J305" t="str">
            <v>Opisthocomus hoazin</v>
          </cell>
          <cell r="K305" t="str">
            <v>hoatzin</v>
          </cell>
          <cell r="L305">
            <v>30419</v>
          </cell>
        </row>
        <row r="306">
          <cell r="J306" t="str">
            <v>Calypte anna</v>
          </cell>
          <cell r="K306" t="str">
            <v>Anna's hummingbird</v>
          </cell>
          <cell r="L306">
            <v>9244</v>
          </cell>
        </row>
        <row r="307">
          <cell r="J307" t="str">
            <v>Phaethornis superciliosus</v>
          </cell>
          <cell r="K307" t="str">
            <v>long-tailed hermit</v>
          </cell>
          <cell r="L307">
            <v>46513</v>
          </cell>
        </row>
        <row r="308">
          <cell r="J308" t="str">
            <v>Heliangelus exortis</v>
          </cell>
          <cell r="K308" t="str">
            <v>tourmaline sunangel</v>
          </cell>
          <cell r="L308">
            <v>472823</v>
          </cell>
        </row>
        <row r="309">
          <cell r="J309" t="str">
            <v>Apus apus</v>
          </cell>
          <cell r="K309" t="str">
            <v>common swift</v>
          </cell>
          <cell r="L309">
            <v>8895</v>
          </cell>
        </row>
        <row r="310">
          <cell r="J310" t="str">
            <v>Hemiprocne comata</v>
          </cell>
          <cell r="K310" t="str">
            <v>whiskered treeswift</v>
          </cell>
          <cell r="L310">
            <v>243314</v>
          </cell>
        </row>
        <row r="311">
          <cell r="J311" t="str">
            <v>Caprimulgus europaeus</v>
          </cell>
          <cell r="K311" t="str">
            <v>Eurasian nightjar</v>
          </cell>
          <cell r="L311">
            <v>111811</v>
          </cell>
        </row>
        <row r="312">
          <cell r="J312" t="str">
            <v>Aegotheles albertisi</v>
          </cell>
          <cell r="K312" t="str">
            <v>mountain owlet-nightjar</v>
          </cell>
          <cell r="L312">
            <v>48277</v>
          </cell>
        </row>
        <row r="313">
          <cell r="J313" t="str">
            <v>Podargus strigoides</v>
          </cell>
          <cell r="K313" t="str">
            <v>tawny frogmouth</v>
          </cell>
          <cell r="L313">
            <v>8905</v>
          </cell>
        </row>
        <row r="314">
          <cell r="J314" t="str">
            <v>Steatornis caripensis</v>
          </cell>
          <cell r="K314" t="str">
            <v>oilbird</v>
          </cell>
          <cell r="L314">
            <v>48435</v>
          </cell>
        </row>
        <row r="315">
          <cell r="J315" t="str">
            <v>Nyctibius grandis</v>
          </cell>
          <cell r="K315" t="str">
            <v>great potoo</v>
          </cell>
          <cell r="L315">
            <v>48427</v>
          </cell>
        </row>
        <row r="316">
          <cell r="J316" t="str">
            <v>Chlamydotis macqueenii</v>
          </cell>
          <cell r="K316" t="str">
            <v>MacQueen's bustard</v>
          </cell>
          <cell r="L316">
            <v>187382</v>
          </cell>
        </row>
        <row r="317">
          <cell r="J317" t="str">
            <v>Tauraco erythrolophus</v>
          </cell>
          <cell r="K317" t="str">
            <v>red-crested turaco</v>
          </cell>
          <cell r="L317">
            <v>121530</v>
          </cell>
        </row>
        <row r="318">
          <cell r="J318" t="str">
            <v>Cuculus canorus</v>
          </cell>
          <cell r="K318" t="str">
            <v>common cuckoo</v>
          </cell>
          <cell r="L318">
            <v>55661</v>
          </cell>
        </row>
        <row r="319">
          <cell r="J319" t="str">
            <v>Monias benschi</v>
          </cell>
          <cell r="K319" t="str">
            <v>subdesert mesite</v>
          </cell>
          <cell r="L319">
            <v>399593</v>
          </cell>
        </row>
        <row r="320">
          <cell r="J320" t="str">
            <v>Pterocles gutturalis</v>
          </cell>
          <cell r="K320" t="str">
            <v>yellow-throated sandgrouse</v>
          </cell>
          <cell r="L320">
            <v>240206</v>
          </cell>
        </row>
        <row r="321">
          <cell r="J321" t="str">
            <v>Streptopelia turtur</v>
          </cell>
          <cell r="K321" t="str">
            <v>European turtle dove</v>
          </cell>
          <cell r="L321">
            <v>177155</v>
          </cell>
        </row>
        <row r="322">
          <cell r="J322" t="str">
            <v>Streptopelia decaocto</v>
          </cell>
          <cell r="K322" t="str">
            <v>Eurasian collared-dove</v>
          </cell>
          <cell r="L322">
            <v>177147</v>
          </cell>
        </row>
        <row r="323">
          <cell r="J323" t="str">
            <v>Nesoenas mayeri</v>
          </cell>
          <cell r="K323" t="str">
            <v>pink pigeon</v>
          </cell>
          <cell r="L323">
            <v>187126</v>
          </cell>
        </row>
        <row r="324">
          <cell r="J324" t="str">
            <v>Caloenas nicobarica</v>
          </cell>
          <cell r="K324" t="str">
            <v>Nicobar pigeon</v>
          </cell>
          <cell r="L324">
            <v>187106</v>
          </cell>
        </row>
        <row r="325">
          <cell r="J325" t="str">
            <v>Patagioenas fasciata</v>
          </cell>
          <cell r="K325" t="str">
            <v>band-tailed pigeon</v>
          </cell>
          <cell r="L325">
            <v>372321</v>
          </cell>
        </row>
        <row r="326">
          <cell r="J326" t="str">
            <v>Columba livia</v>
          </cell>
          <cell r="K326" t="str">
            <v>rock dove</v>
          </cell>
          <cell r="L326">
            <v>8932</v>
          </cell>
        </row>
        <row r="327">
          <cell r="J327" t="str">
            <v>Phoenicopterus ruber</v>
          </cell>
          <cell r="K327" t="str">
            <v>American flamingo</v>
          </cell>
          <cell r="L327">
            <v>9217</v>
          </cell>
        </row>
        <row r="328">
          <cell r="J328" t="str">
            <v>Aechmophorus clarkii</v>
          </cell>
          <cell r="K328" t="str">
            <v>Clarke‚Äôs grebe</v>
          </cell>
          <cell r="L328">
            <v>190660</v>
          </cell>
        </row>
        <row r="329">
          <cell r="J329" t="str">
            <v>Gallus gallus</v>
          </cell>
          <cell r="K329" t="str">
            <v>white leghorn layer chicken</v>
          </cell>
          <cell r="L329">
            <v>9031</v>
          </cell>
        </row>
        <row r="330">
          <cell r="J330" t="str">
            <v>Lagopus muta</v>
          </cell>
          <cell r="K330" t="str">
            <v>rock ptarmigan</v>
          </cell>
          <cell r="L330">
            <v>64668</v>
          </cell>
        </row>
        <row r="331">
          <cell r="J331" t="str">
            <v>Tetrao urogallus</v>
          </cell>
          <cell r="K331" t="str">
            <v>Western capercaillie</v>
          </cell>
          <cell r="L331">
            <v>100830</v>
          </cell>
        </row>
        <row r="332">
          <cell r="J332" t="str">
            <v>Coturnix chinensis</v>
          </cell>
          <cell r="K332" t="str">
            <v>king quail</v>
          </cell>
          <cell r="L332">
            <v>46218</v>
          </cell>
        </row>
        <row r="333">
          <cell r="J333" t="str">
            <v>Aythya fuligula</v>
          </cell>
          <cell r="K333" t="str">
            <v>tufted duck</v>
          </cell>
          <cell r="L333">
            <v>219594</v>
          </cell>
        </row>
        <row r="334">
          <cell r="J334" t="str">
            <v>Aythya ferina</v>
          </cell>
          <cell r="K334" t="str">
            <v>common pochard</v>
          </cell>
          <cell r="L334">
            <v>219593</v>
          </cell>
        </row>
        <row r="335">
          <cell r="J335" t="str">
            <v>Aythya marila</v>
          </cell>
          <cell r="K335" t="str">
            <v>greater scaup</v>
          </cell>
          <cell r="L335">
            <v>189534</v>
          </cell>
        </row>
        <row r="336">
          <cell r="J336" t="str">
            <v>Netta rufina</v>
          </cell>
          <cell r="K336" t="str">
            <v>red-crested pochard</v>
          </cell>
          <cell r="L336">
            <v>30387</v>
          </cell>
        </row>
        <row r="337">
          <cell r="J337" t="str">
            <v>Anas platyrhynchos</v>
          </cell>
          <cell r="K337" t="str">
            <v>mallard</v>
          </cell>
          <cell r="L337">
            <v>8839</v>
          </cell>
        </row>
        <row r="338">
          <cell r="J338" t="str">
            <v>Cygnus olor</v>
          </cell>
          <cell r="K338" t="str">
            <v>mute swan</v>
          </cell>
          <cell r="L338">
            <v>8869</v>
          </cell>
        </row>
        <row r="339">
          <cell r="J339" t="str">
            <v>Anas acuta</v>
          </cell>
          <cell r="K339" t="str">
            <v>northern pintail</v>
          </cell>
          <cell r="L339">
            <v>28680</v>
          </cell>
        </row>
        <row r="340">
          <cell r="J340" t="str">
            <v>Branta canadensis</v>
          </cell>
          <cell r="K340" t="str">
            <v>Canada goose</v>
          </cell>
          <cell r="L340">
            <v>8853</v>
          </cell>
        </row>
        <row r="341">
          <cell r="J341" t="str">
            <v>Anser cygnoides</v>
          </cell>
          <cell r="K341" t="str">
            <v>swan goose</v>
          </cell>
          <cell r="L341">
            <v>8845</v>
          </cell>
        </row>
        <row r="342">
          <cell r="J342" t="str">
            <v>Anser brachyrhynchus</v>
          </cell>
          <cell r="K342" t="str">
            <v>pink-footed goose</v>
          </cell>
          <cell r="L342">
            <v>132585</v>
          </cell>
        </row>
        <row r="343">
          <cell r="J343" t="str">
            <v>Anser anser</v>
          </cell>
          <cell r="K343" t="str">
            <v>domestic goose</v>
          </cell>
          <cell r="L343">
            <v>8843</v>
          </cell>
        </row>
        <row r="344">
          <cell r="J344" t="str">
            <v>Bucephala clangula</v>
          </cell>
          <cell r="K344" t="str">
            <v>common goldeneye</v>
          </cell>
          <cell r="L344">
            <v>107022</v>
          </cell>
        </row>
        <row r="345">
          <cell r="J345" t="str">
            <v>Clangula hyemalis</v>
          </cell>
          <cell r="K345" t="str">
            <v>long-tailed duck</v>
          </cell>
          <cell r="L345">
            <v>197941</v>
          </cell>
        </row>
        <row r="346">
          <cell r="J346" t="str">
            <v>Cygnus columbianus</v>
          </cell>
          <cell r="K346" t="str">
            <v>tundra swan</v>
          </cell>
          <cell r="L346">
            <v>110926</v>
          </cell>
        </row>
        <row r="347">
          <cell r="J347" t="str">
            <v>Mergus octosetaceus</v>
          </cell>
          <cell r="K347" t="str">
            <v>Brazilian merganser</v>
          </cell>
          <cell r="L347">
            <v>1570318</v>
          </cell>
        </row>
        <row r="348">
          <cell r="J348" t="str">
            <v>Struthio camelus australis</v>
          </cell>
          <cell r="K348" t="str">
            <v>common ostrich</v>
          </cell>
          <cell r="L348">
            <v>441894</v>
          </cell>
        </row>
        <row r="349">
          <cell r="J349" t="str">
            <v>Eudromia elegans</v>
          </cell>
          <cell r="K349" t="str">
            <v>elegant crested tinamou</v>
          </cell>
          <cell r="L349">
            <v>8805</v>
          </cell>
        </row>
        <row r="350">
          <cell r="J350" t="str">
            <v>Dromaius novaehollandiae</v>
          </cell>
          <cell r="K350" t="str">
            <v>emu</v>
          </cell>
          <cell r="L350">
            <v>8790</v>
          </cell>
        </row>
        <row r="351">
          <cell r="J351" t="str">
            <v>Apteryx mantelli</v>
          </cell>
          <cell r="K351" t="str">
            <v>North Island brown kiwi</v>
          </cell>
          <cell r="L351">
            <v>2696672</v>
          </cell>
        </row>
        <row r="352">
          <cell r="J352" t="str">
            <v>Rhea pennata</v>
          </cell>
          <cell r="K352" t="str">
            <v xml:space="preserve">lesser rhea </v>
          </cell>
          <cell r="L352">
            <v>8795</v>
          </cell>
        </row>
        <row r="353">
          <cell r="J353" t="str">
            <v>Crocodylus niloticus</v>
          </cell>
          <cell r="K353" t="str">
            <v>Nile crocodile</v>
          </cell>
          <cell r="L353">
            <v>8501</v>
          </cell>
        </row>
        <row r="354">
          <cell r="J354" t="str">
            <v>Alligator mississippiensis</v>
          </cell>
          <cell r="K354" t="str">
            <v>American alligator</v>
          </cell>
          <cell r="L354">
            <v>8496</v>
          </cell>
        </row>
        <row r="355">
          <cell r="J355" t="str">
            <v>Gavialis gangeticus</v>
          </cell>
          <cell r="K355" t="str">
            <v>Indian gharial</v>
          </cell>
          <cell r="L355">
            <v>94835</v>
          </cell>
        </row>
        <row r="356">
          <cell r="J356" t="str">
            <v>Carettochelys insculpta</v>
          </cell>
          <cell r="K356" t="str">
            <v>pig-nosed turtle</v>
          </cell>
          <cell r="L356">
            <v>44489</v>
          </cell>
        </row>
        <row r="357">
          <cell r="J357" t="str">
            <v>Chelonia mydas</v>
          </cell>
          <cell r="K357" t="str">
            <v>green sea turtle</v>
          </cell>
          <cell r="L357">
            <v>8469</v>
          </cell>
        </row>
        <row r="358">
          <cell r="J358" t="str">
            <v>Caretta caretta</v>
          </cell>
          <cell r="K358" t="str">
            <v>loggerhead sea turtle</v>
          </cell>
          <cell r="L358">
            <v>8467</v>
          </cell>
        </row>
        <row r="359">
          <cell r="J359" t="str">
            <v>Lepidochelys kempii</v>
          </cell>
          <cell r="K359" t="str">
            <v>Kemp's ridley sea turtle</v>
          </cell>
          <cell r="L359">
            <v>8472</v>
          </cell>
        </row>
        <row r="360">
          <cell r="J360" t="str">
            <v>Lepidochelys olivacea</v>
          </cell>
          <cell r="K360" t="str">
            <v>Pacific ridley</v>
          </cell>
          <cell r="L360">
            <v>27788</v>
          </cell>
        </row>
        <row r="361">
          <cell r="J361" t="str">
            <v>Natator depressus</v>
          </cell>
          <cell r="K361" t="str">
            <v>Australian flatback sea turtle</v>
          </cell>
          <cell r="L361">
            <v>27790</v>
          </cell>
        </row>
        <row r="362">
          <cell r="J362" t="str">
            <v>Eretmochelys imbricata</v>
          </cell>
          <cell r="K362" t="str">
            <v>Hawksbill sea turtle</v>
          </cell>
          <cell r="L362">
            <v>27787</v>
          </cell>
        </row>
        <row r="363">
          <cell r="J363" t="str">
            <v>Macrochelys suwanniensis</v>
          </cell>
          <cell r="K363" t="str">
            <v>Suwannee snapping turtle</v>
          </cell>
          <cell r="L363">
            <v>3026461</v>
          </cell>
        </row>
        <row r="364">
          <cell r="J364" t="str">
            <v>Dermatemys mawii</v>
          </cell>
          <cell r="K364" t="str">
            <v>Central American river turtle</v>
          </cell>
          <cell r="L364">
            <v>55550</v>
          </cell>
        </row>
        <row r="365">
          <cell r="J365" t="str">
            <v>Dermochelys coriacea</v>
          </cell>
          <cell r="K365" t="str">
            <v>leatherback sea turtle</v>
          </cell>
          <cell r="L365">
            <v>27794</v>
          </cell>
        </row>
        <row r="366">
          <cell r="J366" t="str">
            <v>Emys orbicularis</v>
          </cell>
          <cell r="K366" t="str">
            <v>European pond turtle</v>
          </cell>
          <cell r="L366">
            <v>82168</v>
          </cell>
        </row>
        <row r="367">
          <cell r="J367" t="str">
            <v>Malaclemys terrapin</v>
          </cell>
          <cell r="K367" t="str">
            <v>diamondback terrapin</v>
          </cell>
          <cell r="L367">
            <v>8485</v>
          </cell>
        </row>
        <row r="368">
          <cell r="J368" t="str">
            <v>Pangshura tecta</v>
          </cell>
          <cell r="K368" t="str">
            <v>Indian roofed turtle</v>
          </cell>
          <cell r="L368">
            <v>260642</v>
          </cell>
        </row>
        <row r="369">
          <cell r="J369" t="str">
            <v>Sternotherus odoratus</v>
          </cell>
          <cell r="K369" t="str">
            <v>Eastern musk turtle</v>
          </cell>
          <cell r="L369">
            <v>142480</v>
          </cell>
        </row>
        <row r="370">
          <cell r="J370" t="str">
            <v>Platysternon megacephalum</v>
          </cell>
          <cell r="K370" t="str">
            <v>big-headed turtle</v>
          </cell>
          <cell r="L370">
            <v>55544</v>
          </cell>
        </row>
        <row r="371">
          <cell r="J371" t="str">
            <v>Gopherus evgoodei</v>
          </cell>
          <cell r="K371" t="str">
            <v>Goode's Thornscrub Tortoise</v>
          </cell>
          <cell r="L371">
            <v>1825980</v>
          </cell>
        </row>
        <row r="372">
          <cell r="J372" t="str">
            <v>Gopherus flavomarginatus</v>
          </cell>
          <cell r="K372" t="str">
            <v>Mexican gopher tortoise</v>
          </cell>
          <cell r="L372">
            <v>286002</v>
          </cell>
        </row>
        <row r="373">
          <cell r="J373" t="str">
            <v>Pelodiscus sinensis</v>
          </cell>
          <cell r="K373" t="str">
            <v>Chinese softshell turtle</v>
          </cell>
          <cell r="L373">
            <v>55534</v>
          </cell>
        </row>
        <row r="374">
          <cell r="J374" t="str">
            <v>Myuchelys georgesi</v>
          </cell>
          <cell r="K374" t="str">
            <v>Bellinger river turtle</v>
          </cell>
          <cell r="L374">
            <v>1041117</v>
          </cell>
        </row>
        <row r="375">
          <cell r="J375" t="str">
            <v>Hydromedusa tectifera</v>
          </cell>
          <cell r="K375" t="str">
            <v>Argentine snake-necked turtle</v>
          </cell>
          <cell r="L375">
            <v>61327</v>
          </cell>
        </row>
        <row r="376">
          <cell r="J376" t="str">
            <v>Pelomedusa somalica</v>
          </cell>
          <cell r="K376" t="str">
            <v>African side-necked turtle</v>
          </cell>
          <cell r="L376">
            <v>1488670</v>
          </cell>
        </row>
        <row r="377">
          <cell r="J377" t="str">
            <v>Podocnemis expansa</v>
          </cell>
          <cell r="K377" t="str">
            <v>arrau turtle</v>
          </cell>
          <cell r="L377">
            <v>44507</v>
          </cell>
        </row>
        <row r="378">
          <cell r="J378" t="str">
            <v>Podocnemis unifilis</v>
          </cell>
          <cell r="K378" t="str">
            <v>yellow-spotted Amazon river turtle</v>
          </cell>
          <cell r="L378">
            <v>227871</v>
          </cell>
        </row>
        <row r="379">
          <cell r="J379" t="str">
            <v>Candoia aspera</v>
          </cell>
          <cell r="K379" t="str">
            <v>viper boa</v>
          </cell>
          <cell r="L379">
            <v>51853</v>
          </cell>
        </row>
        <row r="380">
          <cell r="J380" t="str">
            <v>Liasis olivaceus</v>
          </cell>
          <cell r="K380" t="str">
            <v>olive python</v>
          </cell>
          <cell r="L380">
            <v>283338</v>
          </cell>
        </row>
        <row r="381">
          <cell r="J381" t="str">
            <v>Vipera latastei</v>
          </cell>
          <cell r="K381" t="str">
            <v>snub-nosed viber</v>
          </cell>
          <cell r="L381">
            <v>246179</v>
          </cell>
        </row>
        <row r="382">
          <cell r="J382" t="str">
            <v>Vipera ursinii</v>
          </cell>
          <cell r="K382" t="str">
            <v>Hungarian meadow viper</v>
          </cell>
          <cell r="L382">
            <v>103942</v>
          </cell>
        </row>
        <row r="383">
          <cell r="J383" t="str">
            <v>Vipera berus</v>
          </cell>
          <cell r="K383" t="str">
            <v>adder</v>
          </cell>
          <cell r="L383">
            <v>31155</v>
          </cell>
        </row>
        <row r="384">
          <cell r="J384" t="str">
            <v>Thamnophis elegans</v>
          </cell>
          <cell r="K384" t="str">
            <v>Western terrestrial garter snake</v>
          </cell>
          <cell r="L384">
            <v>35005</v>
          </cell>
        </row>
        <row r="385">
          <cell r="J385" t="str">
            <v>Natrix helvetica</v>
          </cell>
          <cell r="K385" t="str">
            <v>barred grass snake</v>
          </cell>
          <cell r="L385">
            <v>2025560</v>
          </cell>
        </row>
        <row r="386">
          <cell r="J386" t="str">
            <v>Erythrolamprus reginae</v>
          </cell>
          <cell r="K386" t="str">
            <v>royal ground snake</v>
          </cell>
          <cell r="L386">
            <v>121349</v>
          </cell>
        </row>
        <row r="387">
          <cell r="J387" t="str">
            <v>Rhinotyphlops lalandei</v>
          </cell>
          <cell r="K387" t="str">
            <v>Delalande's beaked blind snake</v>
          </cell>
          <cell r="L387">
            <v>759953</v>
          </cell>
        </row>
        <row r="388">
          <cell r="J388" t="str">
            <v>Anolis sagrei</v>
          </cell>
          <cell r="K388" t="str">
            <v>brown anole</v>
          </cell>
          <cell r="L388">
            <v>38937</v>
          </cell>
        </row>
        <row r="389">
          <cell r="J389" t="str">
            <v>Bradypodion pumilum</v>
          </cell>
          <cell r="K389" t="str">
            <v>Cape dwarf chameleon</v>
          </cell>
          <cell r="L389">
            <v>179887</v>
          </cell>
        </row>
        <row r="390">
          <cell r="J390" t="str">
            <v>Bradypodion ventrale</v>
          </cell>
          <cell r="K390" t="str">
            <v>Southern dwarf chameleon</v>
          </cell>
          <cell r="L390">
            <v>179890</v>
          </cell>
        </row>
        <row r="391">
          <cell r="J391" t="str">
            <v>Furcifer pardalis</v>
          </cell>
          <cell r="K391" t="str">
            <v>panther chameleon</v>
          </cell>
          <cell r="L391">
            <v>187939</v>
          </cell>
        </row>
        <row r="392">
          <cell r="J392" t="str">
            <v>Cyclura pinguis</v>
          </cell>
          <cell r="K392" t="str">
            <v>stout iguana</v>
          </cell>
          <cell r="L392">
            <v>118683</v>
          </cell>
        </row>
        <row r="393">
          <cell r="J393" t="str">
            <v>Elgaria multicarinata webbii</v>
          </cell>
          <cell r="K393" t="str">
            <v>Southern alligator lizard</v>
          </cell>
          <cell r="L393">
            <v>159646</v>
          </cell>
        </row>
        <row r="394">
          <cell r="J394" t="str">
            <v>Anniella stebbinsi</v>
          </cell>
          <cell r="K394" t="str">
            <v>Southern California legless lizard</v>
          </cell>
          <cell r="L394">
            <v>2202111</v>
          </cell>
        </row>
        <row r="395">
          <cell r="J395" t="str">
            <v>Anguis fragilis</v>
          </cell>
          <cell r="K395" t="str">
            <v>slow worm</v>
          </cell>
          <cell r="L395">
            <v>102178</v>
          </cell>
        </row>
        <row r="396">
          <cell r="J396" t="str">
            <v>Shinisaurus crocodilurus</v>
          </cell>
          <cell r="K396" t="str">
            <v>Chinese crocodile lizard</v>
          </cell>
          <cell r="L396">
            <v>52224</v>
          </cell>
        </row>
        <row r="397">
          <cell r="J397" t="str">
            <v>Lacerta agilis</v>
          </cell>
          <cell r="K397" t="str">
            <v>sand lizard</v>
          </cell>
          <cell r="L397">
            <v>80427</v>
          </cell>
        </row>
        <row r="398">
          <cell r="J398" t="str">
            <v>Zootoca vivipara</v>
          </cell>
          <cell r="K398" t="str">
            <v>European common lizard</v>
          </cell>
          <cell r="L398">
            <v>8524</v>
          </cell>
        </row>
        <row r="399">
          <cell r="J399" t="str">
            <v>Podarcis raffonei</v>
          </cell>
          <cell r="K399" t="str">
            <v>Aeolian wall lizard</v>
          </cell>
          <cell r="L399">
            <v>65483</v>
          </cell>
        </row>
        <row r="400">
          <cell r="J400" t="str">
            <v>Podarcis cretensis</v>
          </cell>
          <cell r="K400" t="str">
            <v>Cretan wall lizard</v>
          </cell>
          <cell r="L400">
            <v>1330250</v>
          </cell>
        </row>
        <row r="401">
          <cell r="J401" t="str">
            <v>Podarcis siculus</v>
          </cell>
          <cell r="K401" t="str">
            <v>Italian wall lizard</v>
          </cell>
          <cell r="L401">
            <v>65484</v>
          </cell>
        </row>
        <row r="402">
          <cell r="J402" t="str">
            <v>Podarcis muralis</v>
          </cell>
          <cell r="K402" t="str">
            <v>common wall lizard</v>
          </cell>
          <cell r="L402">
            <v>64176</v>
          </cell>
        </row>
        <row r="403">
          <cell r="J403" t="str">
            <v>Podarcis bocagei</v>
          </cell>
          <cell r="K403" t="str">
            <v>Bocage's wall lizard</v>
          </cell>
          <cell r="L403">
            <v>90520</v>
          </cell>
        </row>
        <row r="404">
          <cell r="J404" t="str">
            <v>Podarcis gaigeae</v>
          </cell>
          <cell r="K404" t="str">
            <v>Skyros wall lizard</v>
          </cell>
          <cell r="L404">
            <v>90521</v>
          </cell>
        </row>
        <row r="405">
          <cell r="J405" t="str">
            <v>Podarcis pityusensis</v>
          </cell>
          <cell r="K405" t="str">
            <v>Ibiza wall lizard</v>
          </cell>
          <cell r="L405">
            <v>74359</v>
          </cell>
        </row>
        <row r="406">
          <cell r="J406" t="str">
            <v>Podarcis erhardii</v>
          </cell>
          <cell r="K406" t="str">
            <v>Aegean wall lizard</v>
          </cell>
          <cell r="L406">
            <v>140042</v>
          </cell>
        </row>
        <row r="407">
          <cell r="J407" t="str">
            <v>Podarcis melisellensis</v>
          </cell>
          <cell r="K407" t="str">
            <v>Dalmatian wall lizard</v>
          </cell>
          <cell r="L407">
            <v>65482</v>
          </cell>
        </row>
        <row r="408">
          <cell r="J408" t="str">
            <v>Podarcis filfolensis</v>
          </cell>
          <cell r="K408" t="str">
            <v>Filfola wall lizard</v>
          </cell>
          <cell r="L408">
            <v>65481</v>
          </cell>
        </row>
        <row r="409">
          <cell r="J409" t="str">
            <v>Podarcis liolepis</v>
          </cell>
          <cell r="K409" t="str">
            <v>Columbretes wall lizard</v>
          </cell>
          <cell r="L409">
            <v>662736</v>
          </cell>
        </row>
        <row r="410">
          <cell r="J410" t="str">
            <v>Podarcis vaucheri</v>
          </cell>
          <cell r="K410" t="str">
            <v>Andalusian wall lizard</v>
          </cell>
          <cell r="L410">
            <v>140051</v>
          </cell>
        </row>
        <row r="411">
          <cell r="J411" t="str">
            <v>Podarcis tiliguerta</v>
          </cell>
          <cell r="K411" t="str">
            <v>Tyrrhenian wall lizard</v>
          </cell>
          <cell r="L411">
            <v>65485</v>
          </cell>
        </row>
        <row r="412">
          <cell r="J412" t="str">
            <v>Rhineura floridana</v>
          </cell>
          <cell r="K412" t="str">
            <v>Florida worm lizard</v>
          </cell>
          <cell r="L412">
            <v>261503</v>
          </cell>
        </row>
        <row r="413">
          <cell r="J413" t="str">
            <v>Aspidoscelis tigris stejnegeri</v>
          </cell>
          <cell r="K413" t="str">
            <v>Western whiptail stejnegeri</v>
          </cell>
          <cell r="L413">
            <v>2917703</v>
          </cell>
        </row>
        <row r="414">
          <cell r="J414" t="str">
            <v>Tiliqua scincoides</v>
          </cell>
          <cell r="K414" t="str">
            <v>blue-tongue skink</v>
          </cell>
          <cell r="L414">
            <v>71010</v>
          </cell>
        </row>
        <row r="415">
          <cell r="J415" t="str">
            <v>Euleptes europaea</v>
          </cell>
          <cell r="K415" t="str">
            <v>European leaf-toed gecko</v>
          </cell>
          <cell r="L415">
            <v>460621</v>
          </cell>
        </row>
        <row r="416">
          <cell r="J416" t="str">
            <v>Eublepharis macularius</v>
          </cell>
          <cell r="K416" t="str">
            <v>leopard gecko</v>
          </cell>
          <cell r="L416">
            <v>481883</v>
          </cell>
        </row>
        <row r="417">
          <cell r="J417" t="str">
            <v>Dibamus smithi</v>
          </cell>
          <cell r="K417" t="str">
            <v>Smith's blind skink</v>
          </cell>
          <cell r="L417">
            <v>266055</v>
          </cell>
        </row>
        <row r="418">
          <cell r="J418" t="str">
            <v>Sphenodon punctatus</v>
          </cell>
          <cell r="K418" t="str">
            <v>tuatara</v>
          </cell>
          <cell r="L418">
            <v>8508</v>
          </cell>
        </row>
        <row r="419">
          <cell r="J419" t="str">
            <v>Discoglossus pictus</v>
          </cell>
          <cell r="K419" t="str">
            <v>painted frog</v>
          </cell>
          <cell r="L419">
            <v>8351</v>
          </cell>
        </row>
        <row r="420">
          <cell r="J420" t="str">
            <v>Bombina bombina</v>
          </cell>
          <cell r="K420" t="str">
            <v>European fire-bellied toad</v>
          </cell>
          <cell r="L420">
            <v>8345</v>
          </cell>
        </row>
        <row r="421">
          <cell r="J421" t="str">
            <v>Bombina variegata</v>
          </cell>
          <cell r="K421" t="str">
            <v>yellow-bellied toad</v>
          </cell>
          <cell r="L421">
            <v>8348</v>
          </cell>
        </row>
        <row r="422">
          <cell r="J422" t="str">
            <v>Rhinophrynus dorsalis</v>
          </cell>
          <cell r="K422" t="str">
            <v>Mexican burrowing toad</v>
          </cell>
          <cell r="L422">
            <v>43566</v>
          </cell>
        </row>
        <row r="423">
          <cell r="J423" t="str">
            <v>Ascaphus truei</v>
          </cell>
          <cell r="K423" t="str">
            <v>coastal tailed frog</v>
          </cell>
          <cell r="L423">
            <v>8439</v>
          </cell>
        </row>
        <row r="424">
          <cell r="J424" t="str">
            <v>Scutiger boulengeri</v>
          </cell>
          <cell r="K424" t="str">
            <v>Xizang alpine toad</v>
          </cell>
        </row>
        <row r="425">
          <cell r="J425" t="str">
            <v>Pelobates fuscus</v>
          </cell>
          <cell r="K425" t="str">
            <v>common spadefoot toad</v>
          </cell>
          <cell r="L425">
            <v>191477</v>
          </cell>
        </row>
        <row r="426">
          <cell r="J426" t="str">
            <v>Pelodytes ibericus</v>
          </cell>
          <cell r="K426" t="str">
            <v>Iberian parsley frog</v>
          </cell>
          <cell r="L426">
            <v>233781</v>
          </cell>
        </row>
        <row r="427">
          <cell r="J427" t="str">
            <v>Spea bombifrons</v>
          </cell>
          <cell r="K427" t="str">
            <v>plain spadefoot toad</v>
          </cell>
          <cell r="L427">
            <v>233779</v>
          </cell>
        </row>
        <row r="428">
          <cell r="J428" t="str">
            <v>Spea multiplicata</v>
          </cell>
          <cell r="K428" t="str">
            <v>Mexican spadefoot toad</v>
          </cell>
          <cell r="L428">
            <v>30317</v>
          </cell>
        </row>
        <row r="429">
          <cell r="J429" t="str">
            <v>Scaphiopus couchii</v>
          </cell>
          <cell r="K429" t="str">
            <v>Couch's spadefoot toad</v>
          </cell>
          <cell r="L429">
            <v>85089</v>
          </cell>
        </row>
        <row r="430">
          <cell r="J430" t="str">
            <v>Xenopus petersii</v>
          </cell>
          <cell r="K430" t="str">
            <v>Peter's clawed frog</v>
          </cell>
          <cell r="L430">
            <v>288555</v>
          </cell>
        </row>
        <row r="431">
          <cell r="J431" t="str">
            <v>Eleutherodactylus coqui</v>
          </cell>
          <cell r="K431" t="str">
            <v>coqui</v>
          </cell>
          <cell r="L431">
            <v>57060</v>
          </cell>
        </row>
        <row r="432">
          <cell r="J432" t="str">
            <v>Hyperolius riggenbachi</v>
          </cell>
          <cell r="K432" t="str">
            <v>Riggenbach's reed frog</v>
          </cell>
          <cell r="L432">
            <v>752182</v>
          </cell>
        </row>
        <row r="433">
          <cell r="J433" t="str">
            <v>Rhinoderma darwinii</v>
          </cell>
          <cell r="K433" t="str">
            <v>Darwin's frog</v>
          </cell>
          <cell r="L433">
            <v>43563</v>
          </cell>
        </row>
        <row r="434">
          <cell r="J434" t="str">
            <v>Bufo bufo</v>
          </cell>
          <cell r="K434" t="str">
            <v>European toad</v>
          </cell>
          <cell r="L434">
            <v>8384</v>
          </cell>
        </row>
        <row r="435">
          <cell r="J435" t="str">
            <v>Dendropsophus ebraccatus</v>
          </cell>
          <cell r="K435" t="str">
            <v>hourglass treefrog</v>
          </cell>
          <cell r="L435">
            <v>150705</v>
          </cell>
        </row>
        <row r="436">
          <cell r="J436" t="str">
            <v>Hyla sarda</v>
          </cell>
          <cell r="K436" t="str">
            <v>Sardinian treefrog</v>
          </cell>
          <cell r="L436">
            <v>327740</v>
          </cell>
        </row>
        <row r="437">
          <cell r="J437" t="str">
            <v>Ranitomeya imitator</v>
          </cell>
          <cell r="K437" t="str">
            <v>mimic poison frog</v>
          </cell>
          <cell r="L437">
            <v>111125</v>
          </cell>
        </row>
        <row r="438">
          <cell r="J438" t="str">
            <v>Dendrobates auratus</v>
          </cell>
          <cell r="K438" t="str">
            <v>green-and-black poison dart frog</v>
          </cell>
          <cell r="L438">
            <v>43471</v>
          </cell>
        </row>
        <row r="439">
          <cell r="J439" t="str">
            <v>Anomaloglossus baeobatrachus</v>
          </cell>
          <cell r="K439" t="str">
            <v>Edward's Rocket Frog</v>
          </cell>
          <cell r="L439">
            <v>238106</v>
          </cell>
        </row>
        <row r="440">
          <cell r="J440" t="str">
            <v>Engystomops pustulosus</v>
          </cell>
          <cell r="K440" t="str">
            <v>tungara frog</v>
          </cell>
          <cell r="L440">
            <v>76066</v>
          </cell>
        </row>
        <row r="441">
          <cell r="J441" t="str">
            <v>Leptodactylus fuscus</v>
          </cell>
          <cell r="K441" t="str">
            <v>rufous frog</v>
          </cell>
          <cell r="L441">
            <v>238119</v>
          </cell>
        </row>
        <row r="442">
          <cell r="J442" t="str">
            <v>Pseudophryne corroboree</v>
          </cell>
          <cell r="K442" t="str">
            <v>Southern corroboree frog</v>
          </cell>
          <cell r="L442">
            <v>495146</v>
          </cell>
        </row>
        <row r="443">
          <cell r="J443" t="str">
            <v>Mixophyes fleayi</v>
          </cell>
          <cell r="K443" t="str">
            <v>Fleay's barred frog</v>
          </cell>
          <cell r="L443">
            <v>3061075</v>
          </cell>
        </row>
        <row r="444">
          <cell r="J444" t="str">
            <v>Telmatobufo venustus</v>
          </cell>
          <cell r="K444" t="str">
            <v>Chile Mountains false toad</v>
          </cell>
          <cell r="L444">
            <v>107247</v>
          </cell>
        </row>
        <row r="445">
          <cell r="J445" t="str">
            <v>Fejervarya limnocharis</v>
          </cell>
          <cell r="K445" t="str">
            <v>Asian grass frog</v>
          </cell>
          <cell r="L445">
            <v>110108</v>
          </cell>
        </row>
        <row r="446">
          <cell r="J446" t="str">
            <v>Gastrophryne carolinensis</v>
          </cell>
          <cell r="K446" t="str">
            <v>Eastern narrow-mouthed toad</v>
          </cell>
          <cell r="L446">
            <v>8429</v>
          </cell>
        </row>
        <row r="447">
          <cell r="J447" t="str">
            <v>Mantella aurantiaca</v>
          </cell>
          <cell r="K447" t="str">
            <v>golden mantella</v>
          </cell>
          <cell r="L447">
            <v>43514</v>
          </cell>
        </row>
        <row r="448">
          <cell r="J448" t="str">
            <v>Rana temporaria</v>
          </cell>
          <cell r="K448" t="str">
            <v>European common frog</v>
          </cell>
          <cell r="L448">
            <v>8407</v>
          </cell>
        </row>
        <row r="449">
          <cell r="J449" t="str">
            <v>Pelophylax lessonae</v>
          </cell>
          <cell r="K449" t="str">
            <v>pool frog</v>
          </cell>
          <cell r="L449">
            <v>45623</v>
          </cell>
        </row>
        <row r="450">
          <cell r="J450" t="str">
            <v>Sooglossus thomasseti</v>
          </cell>
          <cell r="K450" t="str">
            <v>Thomasset's Seychelles frog</v>
          </cell>
          <cell r="L450">
            <v>8425</v>
          </cell>
        </row>
        <row r="451">
          <cell r="J451" t="str">
            <v>Cryptobranchus alleganiensis</v>
          </cell>
          <cell r="K451" t="str">
            <v>hellbender salamander</v>
          </cell>
          <cell r="L451">
            <v>288313</v>
          </cell>
        </row>
        <row r="452">
          <cell r="J452" t="str">
            <v>Thorius spilogaster</v>
          </cell>
          <cell r="K452" t="str">
            <v>spotted minute salamander</v>
          </cell>
          <cell r="L452">
            <v>1380561</v>
          </cell>
        </row>
        <row r="453">
          <cell r="J453" t="str">
            <v>Parvimolge townsendi</v>
          </cell>
          <cell r="K453" t="str">
            <v>Townsend's dwarf salamander</v>
          </cell>
          <cell r="L453">
            <v>187954</v>
          </cell>
        </row>
        <row r="454">
          <cell r="J454" t="str">
            <v>Necturus punctatus</v>
          </cell>
          <cell r="K454" t="str">
            <v>dwarf waterdog</v>
          </cell>
          <cell r="L454">
            <v>43532</v>
          </cell>
        </row>
        <row r="455">
          <cell r="J455" t="str">
            <v>Ambystoma mexicanum x Ambystoma tigrinum</v>
          </cell>
          <cell r="K455" t="str">
            <v>axolotl</v>
          </cell>
          <cell r="L455" t="str">
            <v>8296/8305</v>
          </cell>
        </row>
        <row r="456">
          <cell r="J456" t="str">
            <v>Pleurodeles waltl</v>
          </cell>
          <cell r="K456" t="str">
            <v>Iberian ribbed newt</v>
          </cell>
          <cell r="L456">
            <v>8319</v>
          </cell>
        </row>
        <row r="457">
          <cell r="J457" t="str">
            <v>Triturus cristatus</v>
          </cell>
          <cell r="K457" t="str">
            <v>warty newt</v>
          </cell>
          <cell r="L457">
            <v>8323</v>
          </cell>
        </row>
        <row r="458">
          <cell r="J458" t="str">
            <v>Lissotriton vulgaris</v>
          </cell>
          <cell r="K458" t="str">
            <v>common newt</v>
          </cell>
          <cell r="L458">
            <v>8324</v>
          </cell>
        </row>
        <row r="459">
          <cell r="J459" t="str">
            <v>Lissotriton helveticus</v>
          </cell>
          <cell r="K459" t="str">
            <v>palmate newt</v>
          </cell>
          <cell r="L459">
            <v>256425</v>
          </cell>
        </row>
        <row r="460">
          <cell r="J460" t="str">
            <v>Siren intermedia</v>
          </cell>
          <cell r="K460" t="str">
            <v>lesser siren</v>
          </cell>
          <cell r="L460">
            <v>8341</v>
          </cell>
        </row>
        <row r="461">
          <cell r="J461" t="str">
            <v>Rhinatrema bivittatum</v>
          </cell>
          <cell r="K461" t="str">
            <v>two-lined caecilian</v>
          </cell>
          <cell r="L461">
            <v>194408</v>
          </cell>
        </row>
        <row r="462">
          <cell r="J462" t="str">
            <v>Microcaecilia unicolor</v>
          </cell>
          <cell r="K462" t="str">
            <v>tiny cayenne caecilian</v>
          </cell>
          <cell r="L462">
            <v>1415580</v>
          </cell>
        </row>
        <row r="463">
          <cell r="J463" t="str">
            <v>Geotrypetes seraphini</v>
          </cell>
          <cell r="K463" t="str">
            <v>Gaboon caecilian</v>
          </cell>
          <cell r="L463">
            <v>260995</v>
          </cell>
        </row>
        <row r="464">
          <cell r="J464" t="str">
            <v>Erpetoichthys calabaricus</v>
          </cell>
          <cell r="K464" t="str">
            <v>reedfish</v>
          </cell>
          <cell r="L464">
            <v>27687</v>
          </cell>
        </row>
        <row r="465">
          <cell r="J465" t="str">
            <v>Acipenser ruthenus</v>
          </cell>
          <cell r="K465" t="str">
            <v>sterlet</v>
          </cell>
          <cell r="L465">
            <v>7906</v>
          </cell>
        </row>
        <row r="466">
          <cell r="J466" t="str">
            <v>Acipenser naccarii</v>
          </cell>
          <cell r="K466" t="str">
            <v>Adriatic sturgeon</v>
          </cell>
          <cell r="L466">
            <v>42330</v>
          </cell>
        </row>
        <row r="467">
          <cell r="J467" t="str">
            <v>Amia calva</v>
          </cell>
          <cell r="K467" t="str">
            <v>bowfin</v>
          </cell>
          <cell r="L467">
            <v>7924</v>
          </cell>
        </row>
        <row r="468">
          <cell r="J468" t="str">
            <v>Lepisosteus oculatus</v>
          </cell>
          <cell r="K468" t="str">
            <v>spotted gar</v>
          </cell>
          <cell r="L468">
            <v>7918</v>
          </cell>
        </row>
        <row r="469">
          <cell r="J469" t="str">
            <v>Atractosteus spatula</v>
          </cell>
          <cell r="K469" t="str">
            <v>alligator gar</v>
          </cell>
          <cell r="L469">
            <v>7917</v>
          </cell>
        </row>
        <row r="470">
          <cell r="J470" t="str">
            <v>Megalops cyprinoides</v>
          </cell>
          <cell r="K470" t="str">
            <v>Indo-pacific tarpon</v>
          </cell>
          <cell r="L470">
            <v>118141</v>
          </cell>
        </row>
        <row r="471">
          <cell r="J471" t="str">
            <v>Albula vulpes</v>
          </cell>
          <cell r="K471" t="str">
            <v>bonefish</v>
          </cell>
          <cell r="L471">
            <v>54909</v>
          </cell>
        </row>
        <row r="472">
          <cell r="J472" t="str">
            <v>Notacanthus chemnitzii</v>
          </cell>
          <cell r="K472" t="str">
            <v>snub-nosed spiny eel</v>
          </cell>
          <cell r="L472">
            <v>143895</v>
          </cell>
        </row>
        <row r="473">
          <cell r="J473" t="str">
            <v>Anguilla anguilla</v>
          </cell>
          <cell r="K473" t="str">
            <v>European eel</v>
          </cell>
          <cell r="L473">
            <v>7936</v>
          </cell>
        </row>
        <row r="474">
          <cell r="J474" t="str">
            <v>Conger conger</v>
          </cell>
          <cell r="K474" t="str">
            <v>European conger</v>
          </cell>
          <cell r="L474">
            <v>82655</v>
          </cell>
        </row>
        <row r="475">
          <cell r="J475" t="str">
            <v>Hiodon alosoides</v>
          </cell>
          <cell r="K475" t="str">
            <v>goldeye</v>
          </cell>
          <cell r="L475">
            <v>54904</v>
          </cell>
        </row>
        <row r="476">
          <cell r="J476" t="str">
            <v>Scleropages formosus</v>
          </cell>
          <cell r="K476" t="str">
            <v>golden arowana</v>
          </cell>
          <cell r="L476">
            <v>113540</v>
          </cell>
        </row>
        <row r="477">
          <cell r="J477" t="str">
            <v>Denticeps clupeoides</v>
          </cell>
          <cell r="K477" t="str">
            <v>denticle herring</v>
          </cell>
          <cell r="L477">
            <v>299321</v>
          </cell>
        </row>
        <row r="478">
          <cell r="J478" t="str">
            <v>Alosa sapidissima</v>
          </cell>
          <cell r="K478" t="str">
            <v>American shad</v>
          </cell>
          <cell r="L478">
            <v>34773</v>
          </cell>
        </row>
        <row r="479">
          <cell r="J479" t="str">
            <v>Sprattus sprattus</v>
          </cell>
          <cell r="K479" t="str">
            <v>European sprat</v>
          </cell>
          <cell r="L479">
            <v>196075</v>
          </cell>
        </row>
        <row r="480">
          <cell r="J480" t="str">
            <v>Sardina pilchardus</v>
          </cell>
          <cell r="K480" t="str">
            <v>sardine</v>
          </cell>
          <cell r="L480">
            <v>27697</v>
          </cell>
        </row>
        <row r="481">
          <cell r="J481" t="str">
            <v>Coilia mystus</v>
          </cell>
          <cell r="K481" t="str">
            <v>Osbeck's grenadier anchovy</v>
          </cell>
          <cell r="L481">
            <v>286537</v>
          </cell>
        </row>
        <row r="482">
          <cell r="J482" t="str">
            <v>Alepocephalus australis</v>
          </cell>
          <cell r="K482" t="str">
            <v>small scaled brown slickhead</v>
          </cell>
          <cell r="L482">
            <v>443646</v>
          </cell>
        </row>
        <row r="483">
          <cell r="J483" t="str">
            <v>Chanos chanos</v>
          </cell>
          <cell r="K483" t="str">
            <v>milkfish</v>
          </cell>
          <cell r="L483">
            <v>29144</v>
          </cell>
        </row>
        <row r="484">
          <cell r="J484" t="str">
            <v>Danio rerio</v>
          </cell>
          <cell r="K484" t="str">
            <v>zebrafish</v>
          </cell>
          <cell r="L484">
            <v>7955</v>
          </cell>
        </row>
        <row r="485">
          <cell r="J485" t="str">
            <v>Phoxinus phoxinus</v>
          </cell>
          <cell r="K485" t="str">
            <v>Eurasian minnow</v>
          </cell>
          <cell r="L485">
            <v>58324</v>
          </cell>
        </row>
        <row r="486">
          <cell r="J486" t="str">
            <v>Rutilus rutilus</v>
          </cell>
          <cell r="K486" t="str">
            <v>roach minnow</v>
          </cell>
          <cell r="L486">
            <v>48668</v>
          </cell>
        </row>
        <row r="487">
          <cell r="J487" t="str">
            <v>Squalius cephalus</v>
          </cell>
          <cell r="K487" t="str">
            <v>European chub</v>
          </cell>
          <cell r="L487">
            <v>8284</v>
          </cell>
        </row>
        <row r="488">
          <cell r="J488" t="str">
            <v>Barbus barbus</v>
          </cell>
          <cell r="K488" t="str">
            <v>barbel</v>
          </cell>
          <cell r="L488">
            <v>40830</v>
          </cell>
        </row>
        <row r="489">
          <cell r="J489" t="str">
            <v>Barbatula barbatula</v>
          </cell>
          <cell r="K489" t="str">
            <v>stone loach</v>
          </cell>
          <cell r="L489">
            <v>135647</v>
          </cell>
        </row>
        <row r="490">
          <cell r="J490" t="str">
            <v>Abramis brama</v>
          </cell>
          <cell r="K490" t="str">
            <v>common bream</v>
          </cell>
          <cell r="L490">
            <v>38527</v>
          </cell>
        </row>
        <row r="491">
          <cell r="J491" t="str">
            <v>Scardinius erythrophthalmus</v>
          </cell>
          <cell r="K491" t="str">
            <v>common rudd</v>
          </cell>
          <cell r="L491">
            <v>58319</v>
          </cell>
        </row>
        <row r="492">
          <cell r="J492" t="str">
            <v>Leuciscus leuciscus</v>
          </cell>
          <cell r="K492" t="str">
            <v>common dace</v>
          </cell>
          <cell r="L492">
            <v>58325</v>
          </cell>
        </row>
        <row r="493">
          <cell r="J493" t="str">
            <v>Gobio gobio</v>
          </cell>
          <cell r="K493" t="str">
            <v>gudgeon</v>
          </cell>
          <cell r="L493">
            <v>27704</v>
          </cell>
        </row>
        <row r="494">
          <cell r="J494" t="str">
            <v>Carassius carassius</v>
          </cell>
          <cell r="K494" t="str">
            <v>common carp</v>
          </cell>
          <cell r="L494">
            <v>217509</v>
          </cell>
        </row>
        <row r="495">
          <cell r="J495" t="str">
            <v>Cyprinella lutrensis</v>
          </cell>
          <cell r="K495" t="str">
            <v>red shiner</v>
          </cell>
          <cell r="L495">
            <v>28791</v>
          </cell>
        </row>
        <row r="496">
          <cell r="J496" t="str">
            <v>Cyprinella venusta</v>
          </cell>
          <cell r="K496" t="str">
            <v>blacktail shiner</v>
          </cell>
          <cell r="L496">
            <v>28792</v>
          </cell>
        </row>
        <row r="497">
          <cell r="J497" t="str">
            <v>Rhinogobio nasutus</v>
          </cell>
          <cell r="K497" t="str">
            <v>Rhinogobio nasutus</v>
          </cell>
          <cell r="L497">
            <v>2590489</v>
          </cell>
        </row>
        <row r="498">
          <cell r="J498" t="str">
            <v>Electrophorus electricus</v>
          </cell>
          <cell r="K498" t="str">
            <v>electric eel</v>
          </cell>
          <cell r="L498">
            <v>8005</v>
          </cell>
        </row>
        <row r="499">
          <cell r="J499" t="str">
            <v>Pygocentrus nattereri</v>
          </cell>
          <cell r="K499" t="str">
            <v>red-bellied piranha</v>
          </cell>
          <cell r="L499">
            <v>42514</v>
          </cell>
        </row>
        <row r="500">
          <cell r="J500" t="str">
            <v>Hoplias malabaricus</v>
          </cell>
          <cell r="K500" t="str">
            <v>trahira</v>
          </cell>
          <cell r="L500">
            <v>27720</v>
          </cell>
        </row>
        <row r="501">
          <cell r="J501" t="str">
            <v>Salminus brasiliensis</v>
          </cell>
          <cell r="K501" t="str">
            <v>golden dorado</v>
          </cell>
          <cell r="L501">
            <v>930266</v>
          </cell>
        </row>
        <row r="502">
          <cell r="J502" t="str">
            <v>Prochilodus lineatus</v>
          </cell>
          <cell r="K502" t="str">
            <v>streaked prochilod</v>
          </cell>
          <cell r="L502">
            <v>27695</v>
          </cell>
        </row>
        <row r="503">
          <cell r="J503" t="str">
            <v>Characidium zebra</v>
          </cell>
          <cell r="K503" t="str">
            <v>zebra darter</v>
          </cell>
          <cell r="L503">
            <v>1053565</v>
          </cell>
        </row>
        <row r="504">
          <cell r="J504" t="str">
            <v>Astyanax mexicanus</v>
          </cell>
          <cell r="K504" t="str">
            <v>Mexican tetra</v>
          </cell>
          <cell r="L504">
            <v>7994</v>
          </cell>
        </row>
        <row r="505">
          <cell r="J505" t="str">
            <v>Silurus aristotelis</v>
          </cell>
          <cell r="K505" t="str">
            <v>Aristotle's catfish</v>
          </cell>
          <cell r="L505">
            <v>933932</v>
          </cell>
        </row>
        <row r="506">
          <cell r="J506" t="str">
            <v>Pangasianodon hypophthalmus</v>
          </cell>
          <cell r="K506" t="str">
            <v>striped catfish</v>
          </cell>
          <cell r="L506">
            <v>310915</v>
          </cell>
        </row>
        <row r="507">
          <cell r="J507" t="str">
            <v>Neoarius graeffei</v>
          </cell>
          <cell r="K507" t="str">
            <v>blue salmon catfish</v>
          </cell>
          <cell r="L507">
            <v>443677</v>
          </cell>
        </row>
        <row r="508">
          <cell r="J508" t="str">
            <v>Trichomycterus rosablanca</v>
          </cell>
          <cell r="K508" t="str">
            <v>Rosablanca cavefish</v>
          </cell>
          <cell r="L508">
            <v>2290929</v>
          </cell>
        </row>
        <row r="509">
          <cell r="J509" t="str">
            <v>Clarias gariepinus</v>
          </cell>
          <cell r="K509" t="str">
            <v>North African catfish</v>
          </cell>
          <cell r="L509">
            <v>13013</v>
          </cell>
        </row>
        <row r="510">
          <cell r="J510" t="str">
            <v>Lepidogalaxias salamandroides</v>
          </cell>
          <cell r="K510" t="str">
            <v>salamanderfish</v>
          </cell>
          <cell r="L510">
            <v>89578</v>
          </cell>
        </row>
        <row r="511">
          <cell r="J511" t="str">
            <v>Argentina silus</v>
          </cell>
          <cell r="K511" t="str">
            <v>greater argentine</v>
          </cell>
          <cell r="L511">
            <v>446415</v>
          </cell>
        </row>
        <row r="512">
          <cell r="J512" t="str">
            <v>Nansenia antarctica</v>
          </cell>
          <cell r="K512" t="str">
            <v>pencil smelt</v>
          </cell>
          <cell r="L512">
            <v>443705</v>
          </cell>
        </row>
        <row r="513">
          <cell r="J513" t="str">
            <v>Aplochiton taeniatus</v>
          </cell>
          <cell r="K513" t="str">
            <v>peladilla</v>
          </cell>
          <cell r="L513">
            <v>946358</v>
          </cell>
        </row>
        <row r="514">
          <cell r="J514" t="str">
            <v>Esox lucius</v>
          </cell>
          <cell r="K514" t="str">
            <v>Northern pike</v>
          </cell>
          <cell r="L514">
            <v>8010</v>
          </cell>
        </row>
        <row r="515">
          <cell r="J515" t="str">
            <v>Salmo trutta</v>
          </cell>
          <cell r="K515" t="str">
            <v>brown trout</v>
          </cell>
          <cell r="L515">
            <v>8032</v>
          </cell>
        </row>
        <row r="516">
          <cell r="J516" t="str">
            <v>Salvelinus alpinus</v>
          </cell>
          <cell r="K516" t="str">
            <v>Arctic char</v>
          </cell>
          <cell r="L516">
            <v>8036</v>
          </cell>
        </row>
        <row r="517">
          <cell r="J517" t="str">
            <v>Coregonus lavaretus</v>
          </cell>
          <cell r="K517" t="str">
            <v>common whitefish</v>
          </cell>
          <cell r="L517">
            <v>59291</v>
          </cell>
        </row>
        <row r="518">
          <cell r="J518" t="str">
            <v>Osmerus mordax</v>
          </cell>
          <cell r="K518" t="str">
            <v>rainbow smelt</v>
          </cell>
          <cell r="L518">
            <v>8014</v>
          </cell>
        </row>
        <row r="519">
          <cell r="J519" t="str">
            <v>Hypomesus transpacificus</v>
          </cell>
          <cell r="K519" t="str">
            <v>delta smelt</v>
          </cell>
          <cell r="L519">
            <v>137520</v>
          </cell>
        </row>
        <row r="520">
          <cell r="J520" t="str">
            <v>Osmerus eperlanus</v>
          </cell>
          <cell r="K520" t="str">
            <v>European smelt</v>
          </cell>
          <cell r="L520">
            <v>29151</v>
          </cell>
        </row>
        <row r="521">
          <cell r="J521" t="str">
            <v>Spirinchus thaleichthys</v>
          </cell>
          <cell r="K521" t="str">
            <v>longfin smelt</v>
          </cell>
          <cell r="L521">
            <v>260508</v>
          </cell>
        </row>
        <row r="522">
          <cell r="J522" t="str">
            <v>Borostomias antarcticus</v>
          </cell>
          <cell r="K522" t="str">
            <v>large-eye snaggletooth</v>
          </cell>
          <cell r="L522">
            <v>473354</v>
          </cell>
        </row>
        <row r="523">
          <cell r="J523" t="str">
            <v>Stomias gracilis</v>
          </cell>
          <cell r="K523" t="str">
            <v>Boa dragonfish</v>
          </cell>
          <cell r="L523">
            <v>1091428</v>
          </cell>
        </row>
        <row r="524">
          <cell r="J524" t="str">
            <v>Ateleopus japonicus</v>
          </cell>
          <cell r="K524" t="str">
            <v>Pacific jellynose fish</v>
          </cell>
          <cell r="L524">
            <v>143306</v>
          </cell>
        </row>
        <row r="525">
          <cell r="J525" t="str">
            <v>Notolepis coatsi</v>
          </cell>
          <cell r="K525" t="str">
            <v>Antarctic jonasfish</v>
          </cell>
          <cell r="L525">
            <v>948063</v>
          </cell>
        </row>
        <row r="526">
          <cell r="J526" t="str">
            <v>Benthalbella elongata</v>
          </cell>
          <cell r="K526" t="str">
            <v>pearleye</v>
          </cell>
          <cell r="L526">
            <v>1090477</v>
          </cell>
        </row>
        <row r="527">
          <cell r="J527" t="str">
            <v>Electrona antarctica</v>
          </cell>
          <cell r="K527" t="str">
            <v>Antarctic lanternfish</v>
          </cell>
          <cell r="L527">
            <v>206093</v>
          </cell>
        </row>
        <row r="528">
          <cell r="J528" t="str">
            <v>Electrona carlsbergi</v>
          </cell>
          <cell r="K528" t="str">
            <v>Electron subantarctic</v>
          </cell>
          <cell r="L528">
            <v>123328</v>
          </cell>
        </row>
        <row r="529">
          <cell r="J529" t="str">
            <v>Electrona subaspera</v>
          </cell>
          <cell r="K529" t="str">
            <v>rough laternfish</v>
          </cell>
          <cell r="L529">
            <v>948024</v>
          </cell>
        </row>
        <row r="530">
          <cell r="J530" t="str">
            <v xml:space="preserve">Protomyctophum parallelum </v>
          </cell>
          <cell r="K530" t="str">
            <v>parallel lanternfish</v>
          </cell>
          <cell r="L530">
            <v>1091426</v>
          </cell>
        </row>
        <row r="531">
          <cell r="J531" t="str">
            <v>Gymnoscopelus braueri</v>
          </cell>
          <cell r="K531" t="str">
            <v>Brauer's lanternfish</v>
          </cell>
          <cell r="L531">
            <v>948025</v>
          </cell>
        </row>
        <row r="532">
          <cell r="J532" t="str">
            <v>Gymnoscopelus microlampas</v>
          </cell>
          <cell r="K532" t="str">
            <v>minispotted lanternfish</v>
          </cell>
          <cell r="L532">
            <v>1090481</v>
          </cell>
        </row>
        <row r="533">
          <cell r="J533" t="str">
            <v>Nannobrachium achirus</v>
          </cell>
          <cell r="K533" t="str">
            <v>Lantern fish</v>
          </cell>
          <cell r="L533">
            <v>473322</v>
          </cell>
        </row>
        <row r="534">
          <cell r="J534" t="str">
            <v>Protomyctophum bolini</v>
          </cell>
          <cell r="K534" t="str">
            <v>Bolin‚Äôs lanternfish</v>
          </cell>
          <cell r="L534">
            <v>443714</v>
          </cell>
        </row>
        <row r="535">
          <cell r="J535" t="str">
            <v>Lampris incognitus</v>
          </cell>
          <cell r="K535" t="str">
            <v>smalleye Pacific opah</v>
          </cell>
          <cell r="L535">
            <v>2546036</v>
          </cell>
        </row>
        <row r="536">
          <cell r="J536" t="str">
            <v>Amblyopsis spelaea</v>
          </cell>
          <cell r="K536" t="str">
            <v>Northern cavefish</v>
          </cell>
          <cell r="L536">
            <v>1195602</v>
          </cell>
        </row>
        <row r="537">
          <cell r="J537" t="str">
            <v>Zeus faber</v>
          </cell>
          <cell r="K537" t="str">
            <v>John dory</v>
          </cell>
          <cell r="L537">
            <v>64108</v>
          </cell>
        </row>
        <row r="538">
          <cell r="J538" t="str">
            <v>Stylephorus chordatus</v>
          </cell>
          <cell r="K538" t="str">
            <v>tube-eye</v>
          </cell>
          <cell r="L538">
            <v>409996</v>
          </cell>
        </row>
        <row r="539">
          <cell r="J539" t="str">
            <v>Gadus morhua</v>
          </cell>
          <cell r="K539" t="str">
            <v>Atlantic cod</v>
          </cell>
          <cell r="L539">
            <v>8049</v>
          </cell>
        </row>
        <row r="540">
          <cell r="J540" t="str">
            <v>Pollachius pollachius</v>
          </cell>
          <cell r="K540" t="str">
            <v>European pollock</v>
          </cell>
          <cell r="L540">
            <v>185739</v>
          </cell>
        </row>
        <row r="541">
          <cell r="J541" t="str">
            <v>Micromesistius poutassou</v>
          </cell>
          <cell r="K541" t="str">
            <v>blue whiting</v>
          </cell>
          <cell r="L541">
            <v>348443</v>
          </cell>
        </row>
        <row r="542">
          <cell r="J542" t="str">
            <v>Ciliata mustela</v>
          </cell>
          <cell r="K542" t="str">
            <v>fivebeard rockling</v>
          </cell>
          <cell r="L542">
            <v>81636</v>
          </cell>
        </row>
        <row r="543">
          <cell r="J543" t="str">
            <v>Polymixia lowei</v>
          </cell>
          <cell r="K543" t="str">
            <v>beardfish</v>
          </cell>
          <cell r="L543">
            <v>143326</v>
          </cell>
        </row>
        <row r="544">
          <cell r="J544" t="str">
            <v>Polymixia cf. hollisterae</v>
          </cell>
          <cell r="K544" t="str">
            <v>Bermuda beardfish</v>
          </cell>
          <cell r="L544">
            <v>3239838</v>
          </cell>
        </row>
        <row r="545">
          <cell r="J545" t="str">
            <v>Polymixia berndti</v>
          </cell>
          <cell r="K545" t="str">
            <v>Pacific beardfish</v>
          </cell>
          <cell r="L545">
            <v>88705</v>
          </cell>
        </row>
        <row r="546">
          <cell r="J546" t="str">
            <v>Poromitra crassiceps</v>
          </cell>
          <cell r="K546" t="str">
            <v>crested bigscale</v>
          </cell>
          <cell r="L546">
            <v>88708</v>
          </cell>
        </row>
        <row r="547">
          <cell r="J547" t="str">
            <v>Centroberyx gerrardi</v>
          </cell>
          <cell r="K547" t="str">
            <v>bight redfish</v>
          </cell>
          <cell r="L547">
            <v>166262</v>
          </cell>
        </row>
        <row r="548">
          <cell r="J548" t="str">
            <v>Myripristis murdjan</v>
          </cell>
          <cell r="K548" t="str">
            <v>pinecone soldierfish</v>
          </cell>
          <cell r="L548">
            <v>586833</v>
          </cell>
        </row>
        <row r="549">
          <cell r="J549" t="str">
            <v>Ophidion barbatum</v>
          </cell>
          <cell r="K549" t="str">
            <v>snake blenny</v>
          </cell>
          <cell r="L549">
            <v>3096692</v>
          </cell>
        </row>
        <row r="550">
          <cell r="J550" t="str">
            <v>Thalassophryne amazonica</v>
          </cell>
          <cell r="K550" t="str">
            <v>prehistoric monster fish</v>
          </cell>
          <cell r="L550">
            <v>390379</v>
          </cell>
        </row>
        <row r="551">
          <cell r="J551" t="str">
            <v>Periophthalmus magnuspinnatus</v>
          </cell>
          <cell r="K551" t="str">
            <v>Korean giant-fin mudskipper</v>
          </cell>
          <cell r="L551">
            <v>409849</v>
          </cell>
        </row>
        <row r="552">
          <cell r="J552" t="str">
            <v>Gobius niger</v>
          </cell>
          <cell r="K552" t="str">
            <v>black goby</v>
          </cell>
          <cell r="L552">
            <v>85417</v>
          </cell>
        </row>
        <row r="553">
          <cell r="J553" t="str">
            <v>Syngnathus acus</v>
          </cell>
          <cell r="K553" t="str">
            <v>greater pipefish</v>
          </cell>
          <cell r="L553">
            <v>161584</v>
          </cell>
        </row>
        <row r="554">
          <cell r="J554" t="str">
            <v>Syngnathus typhle</v>
          </cell>
          <cell r="K554" t="str">
            <v>broad-nosed pipefish</v>
          </cell>
          <cell r="L554">
            <v>161592</v>
          </cell>
        </row>
        <row r="555">
          <cell r="J555" t="str">
            <v>Aulostomus maculatus</v>
          </cell>
          <cell r="K555" t="str">
            <v>West¬†Atlantic trumpetfish</v>
          </cell>
          <cell r="L555">
            <v>150449</v>
          </cell>
        </row>
        <row r="556">
          <cell r="J556" t="str">
            <v>Thunnus maccoyii</v>
          </cell>
          <cell r="K556" t="str">
            <v>southern bluefin tuna</v>
          </cell>
          <cell r="L556">
            <v>8240</v>
          </cell>
        </row>
        <row r="557">
          <cell r="J557" t="str">
            <v>Thunnus thynnus</v>
          </cell>
          <cell r="K557" t="str">
            <v>northern bluefin tuna</v>
          </cell>
          <cell r="L557">
            <v>8237</v>
          </cell>
        </row>
        <row r="558">
          <cell r="J558" t="str">
            <v>Thunnus albacares</v>
          </cell>
          <cell r="K558" t="str">
            <v>yellowfin tuna</v>
          </cell>
          <cell r="L558">
            <v>8236</v>
          </cell>
        </row>
        <row r="559">
          <cell r="J559" t="str">
            <v>Thunnus obesus</v>
          </cell>
          <cell r="K559" t="str">
            <v>bigeye tuna</v>
          </cell>
          <cell r="L559">
            <v>8241</v>
          </cell>
        </row>
        <row r="560">
          <cell r="J560" t="str">
            <v>Scomber japonicus</v>
          </cell>
          <cell r="K560" t="str">
            <v>Pacific chub mackerel</v>
          </cell>
          <cell r="L560">
            <v>13676</v>
          </cell>
        </row>
        <row r="561">
          <cell r="J561" t="str">
            <v>Scomber scombrus</v>
          </cell>
          <cell r="K561" t="str">
            <v>Atlantic mackerel</v>
          </cell>
          <cell r="L561">
            <v>13677</v>
          </cell>
        </row>
        <row r="562">
          <cell r="J562" t="str">
            <v>Arripis georgiana</v>
          </cell>
          <cell r="K562" t="str">
            <v>Australian herring</v>
          </cell>
          <cell r="L562">
            <v>3352246</v>
          </cell>
        </row>
        <row r="563">
          <cell r="J563" t="str">
            <v>Eumegistus illustris</v>
          </cell>
          <cell r="K563" t="str">
            <v>brilliant pomfret</v>
          </cell>
          <cell r="L563">
            <v>1219343</v>
          </cell>
        </row>
        <row r="564">
          <cell r="J564" t="str">
            <v>Mastacembelus armatus</v>
          </cell>
          <cell r="K564" t="str">
            <v>zig-zag eel</v>
          </cell>
          <cell r="L564">
            <v>205130</v>
          </cell>
        </row>
        <row r="565">
          <cell r="J565" t="str">
            <v>Anabas testudineus</v>
          </cell>
          <cell r="K565" t="str">
            <v>climbing perch</v>
          </cell>
          <cell r="L565">
            <v>64144</v>
          </cell>
        </row>
        <row r="566">
          <cell r="J566" t="str">
            <v>Betta splendens</v>
          </cell>
          <cell r="K566" t="str">
            <v>Siamese fighting fish</v>
          </cell>
          <cell r="L566">
            <v>158456</v>
          </cell>
        </row>
        <row r="567">
          <cell r="J567" t="str">
            <v>Toxotes jaculatrix</v>
          </cell>
          <cell r="K567" t="str">
            <v>banded archerfish</v>
          </cell>
          <cell r="L567">
            <v>941984</v>
          </cell>
        </row>
        <row r="568">
          <cell r="J568" t="str">
            <v>Hippoglossus hippoglossus</v>
          </cell>
          <cell r="K568" t="str">
            <v>Atlantic halibut</v>
          </cell>
          <cell r="L568">
            <v>8267</v>
          </cell>
        </row>
        <row r="569">
          <cell r="J569" t="str">
            <v>Pleuronectes platessa</v>
          </cell>
          <cell r="K569" t="str">
            <v>European plaice</v>
          </cell>
          <cell r="L569">
            <v>8262</v>
          </cell>
        </row>
        <row r="570">
          <cell r="J570" t="str">
            <v>Platichthys flesus</v>
          </cell>
          <cell r="K570" t="str">
            <v>European flounder</v>
          </cell>
          <cell r="L570">
            <v>8260</v>
          </cell>
        </row>
        <row r="571">
          <cell r="J571" t="str">
            <v>Limanda limanda</v>
          </cell>
          <cell r="K571" t="str">
            <v>common dab</v>
          </cell>
          <cell r="L571">
            <v>27771</v>
          </cell>
        </row>
        <row r="572">
          <cell r="J572" t="str">
            <v>Pseudopleuronectes americanus</v>
          </cell>
          <cell r="K572" t="str">
            <v>winter flounder</v>
          </cell>
          <cell r="L572">
            <v>8265</v>
          </cell>
        </row>
        <row r="573">
          <cell r="J573" t="str">
            <v>Microstomus kitt</v>
          </cell>
          <cell r="K573" t="str">
            <v>lemon sole</v>
          </cell>
          <cell r="L573">
            <v>106175</v>
          </cell>
        </row>
        <row r="574">
          <cell r="J574" t="str">
            <v>Solea solea</v>
          </cell>
          <cell r="K574" t="str">
            <v>common sole</v>
          </cell>
          <cell r="L574">
            <v>90069</v>
          </cell>
        </row>
        <row r="575">
          <cell r="J575" t="str">
            <v>Microchirus variegatus</v>
          </cell>
          <cell r="K575" t="str">
            <v>thickback sole</v>
          </cell>
          <cell r="L575">
            <v>90074</v>
          </cell>
        </row>
        <row r="576">
          <cell r="J576" t="str">
            <v>Scophthalmus maximus</v>
          </cell>
          <cell r="K576" t="str">
            <v>turbot</v>
          </cell>
          <cell r="L576">
            <v>52904</v>
          </cell>
        </row>
        <row r="577">
          <cell r="J577" t="str">
            <v>Xiphias gladius</v>
          </cell>
          <cell r="K577" t="str">
            <v>swordfish</v>
          </cell>
          <cell r="L577">
            <v>8245</v>
          </cell>
        </row>
        <row r="578">
          <cell r="J578" t="str">
            <v>Echeneis naucrates</v>
          </cell>
          <cell r="K578" t="str">
            <v>live sharksucker</v>
          </cell>
          <cell r="L578">
            <v>173247</v>
          </cell>
        </row>
        <row r="579">
          <cell r="J579" t="str">
            <v>Trachurus trachurus</v>
          </cell>
          <cell r="K579" t="str">
            <v>Atlantic horse mackerel</v>
          </cell>
          <cell r="L579">
            <v>36212</v>
          </cell>
        </row>
        <row r="580">
          <cell r="J580" t="str">
            <v>Sphyraena novaehollandiae</v>
          </cell>
          <cell r="K580" t="str">
            <v>snook</v>
          </cell>
          <cell r="L580">
            <v>1680617</v>
          </cell>
        </row>
        <row r="581">
          <cell r="J581" t="str">
            <v>Parambassis ranga</v>
          </cell>
          <cell r="K581" t="str">
            <v>Indian glassy fish</v>
          </cell>
          <cell r="L581">
            <v>210632</v>
          </cell>
        </row>
        <row r="582">
          <cell r="J582" t="str">
            <v>Trachinops noarlungae</v>
          </cell>
          <cell r="K582" t="str">
            <v>yellowhead hulafish</v>
          </cell>
          <cell r="L582">
            <v>3231499</v>
          </cell>
        </row>
        <row r="583">
          <cell r="J583" t="str">
            <v>Astatotilapia calliptera</v>
          </cell>
          <cell r="K583" t="str">
            <v>Eastern happy</v>
          </cell>
          <cell r="L583">
            <v>8154</v>
          </cell>
        </row>
        <row r="584">
          <cell r="J584" t="str">
            <v>Archocentrus centrarchus</v>
          </cell>
          <cell r="K584" t="str">
            <v>flier cichlid</v>
          </cell>
          <cell r="L584">
            <v>63155</v>
          </cell>
        </row>
        <row r="585">
          <cell r="J585" t="str">
            <v>Haplochromis burtoni</v>
          </cell>
          <cell r="K585" t="str">
            <v>Burton's mouthbrooder</v>
          </cell>
          <cell r="L585">
            <v>8153</v>
          </cell>
        </row>
        <row r="586">
          <cell r="J586" t="str">
            <v>Rhamphochromis sp. chilingali</v>
          </cell>
          <cell r="K586" t="str">
            <v>Chilingali cichlid</v>
          </cell>
          <cell r="L586">
            <v>454631</v>
          </cell>
        </row>
        <row r="587">
          <cell r="J587" t="str">
            <v>Aulonocara stuartgranti</v>
          </cell>
          <cell r="K587" t="str">
            <v>flavescent peacock cichlid</v>
          </cell>
          <cell r="L587">
            <v>286572</v>
          </cell>
        </row>
        <row r="588">
          <cell r="J588" t="str">
            <v>Scatophagus argus</v>
          </cell>
          <cell r="K588" t="str">
            <v>spotted scat</v>
          </cell>
          <cell r="L588">
            <v>75038</v>
          </cell>
        </row>
        <row r="589">
          <cell r="J589" t="str">
            <v>Anableps anableps</v>
          </cell>
          <cell r="K589" t="str">
            <v>largescale four-eyes</v>
          </cell>
          <cell r="L589">
            <v>195821</v>
          </cell>
        </row>
        <row r="590">
          <cell r="J590" t="str">
            <v>Girardinichthys multiradiatus</v>
          </cell>
          <cell r="K590" t="str">
            <v>darkedged splitfin</v>
          </cell>
          <cell r="L590">
            <v>208333</v>
          </cell>
        </row>
        <row r="591">
          <cell r="J591" t="str">
            <v>Fundulus diaphanus</v>
          </cell>
          <cell r="K591" t="str">
            <v>banded killifish</v>
          </cell>
          <cell r="L591">
            <v>54267</v>
          </cell>
        </row>
        <row r="592">
          <cell r="J592" t="str">
            <v>Chelon labrosus</v>
          </cell>
          <cell r="K592" t="str">
            <v>thicklip grey mullet</v>
          </cell>
          <cell r="L592">
            <v>48171</v>
          </cell>
        </row>
        <row r="593">
          <cell r="J593" t="str">
            <v>Melanotaenia boesemani</v>
          </cell>
          <cell r="K593" t="str">
            <v>Boeseman‚Äôs rainbowfish</v>
          </cell>
          <cell r="L593">
            <v>1250792</v>
          </cell>
        </row>
        <row r="594">
          <cell r="J594" t="str">
            <v>Telmatherina bonti</v>
          </cell>
          <cell r="K594" t="str">
            <v>telmatherina bonti</v>
          </cell>
          <cell r="L594">
            <v>446457</v>
          </cell>
        </row>
        <row r="595">
          <cell r="J595" t="str">
            <v>Odontesthes bonariensis</v>
          </cell>
          <cell r="K595" t="str">
            <v>pejerrey</v>
          </cell>
          <cell r="L595">
            <v>219752</v>
          </cell>
        </row>
        <row r="596">
          <cell r="J596" t="str">
            <v>Menidia menidia</v>
          </cell>
          <cell r="K596" t="str">
            <v>Atlantic silverside</v>
          </cell>
          <cell r="L596">
            <v>238744</v>
          </cell>
        </row>
        <row r="597">
          <cell r="J597" t="str">
            <v>Xenentodon cancila</v>
          </cell>
          <cell r="K597" t="str">
            <v>needlefish</v>
          </cell>
          <cell r="L597">
            <v>129108</v>
          </cell>
        </row>
        <row r="598">
          <cell r="J598" t="str">
            <v>Pholidichthys leucotaenia</v>
          </cell>
          <cell r="K598" t="str">
            <v>convict blenny</v>
          </cell>
          <cell r="L598">
            <v>390368</v>
          </cell>
        </row>
        <row r="599">
          <cell r="J599" t="str">
            <v>Hyperoplus immaculatus</v>
          </cell>
          <cell r="K599" t="str">
            <v>greater sand eel</v>
          </cell>
          <cell r="L599">
            <v>1484357</v>
          </cell>
        </row>
        <row r="600">
          <cell r="J600" t="str">
            <v>Ammodytes marinus</v>
          </cell>
          <cell r="K600" t="str">
            <v>lesseer sand eel</v>
          </cell>
          <cell r="L600">
            <v>146480</v>
          </cell>
        </row>
        <row r="601">
          <cell r="J601" t="str">
            <v>Salarias fasciatus</v>
          </cell>
          <cell r="K601" t="str">
            <v>jewelled blenny</v>
          </cell>
          <cell r="L601">
            <v>181472</v>
          </cell>
        </row>
        <row r="602">
          <cell r="J602" t="str">
            <v>Blennius ocellaris</v>
          </cell>
          <cell r="K602" t="str">
            <v>butterfly blenny</v>
          </cell>
          <cell r="L602">
            <v>195075</v>
          </cell>
        </row>
        <row r="603">
          <cell r="J603" t="str">
            <v>Lipophrys pholis</v>
          </cell>
          <cell r="K603" t="str">
            <v>shanny</v>
          </cell>
          <cell r="L603">
            <v>56720</v>
          </cell>
        </row>
        <row r="604">
          <cell r="J604" t="str">
            <v>Cristiceps australis</v>
          </cell>
          <cell r="K604" t="str">
            <v>crested weedfish</v>
          </cell>
          <cell r="L604">
            <v>879810</v>
          </cell>
        </row>
        <row r="605">
          <cell r="J605" t="str">
            <v>Paraplesiops meleagris</v>
          </cell>
          <cell r="K605" t="str">
            <v>Southern blue devil</v>
          </cell>
        </row>
        <row r="606">
          <cell r="J606" t="str">
            <v>Diretmus argenteus</v>
          </cell>
          <cell r="K606" t="str">
            <v>silver spinyfin</v>
          </cell>
          <cell r="L606">
            <v>88656</v>
          </cell>
        </row>
        <row r="607">
          <cell r="J607" t="str">
            <v>Enoplosus armatus</v>
          </cell>
          <cell r="K607" t="str">
            <v>old wife</v>
          </cell>
          <cell r="L607">
            <v>215367</v>
          </cell>
        </row>
        <row r="608">
          <cell r="J608" t="str">
            <v>Micropterus salmoides</v>
          </cell>
          <cell r="K608" t="str">
            <v>large-mouth bass</v>
          </cell>
          <cell r="L608">
            <v>27706</v>
          </cell>
        </row>
        <row r="609">
          <cell r="J609" t="str">
            <v>Chironemus georgianus</v>
          </cell>
          <cell r="K609" t="str">
            <v>Western kelpfish</v>
          </cell>
          <cell r="L609">
            <v>382509</v>
          </cell>
        </row>
        <row r="610">
          <cell r="J610" t="str">
            <v>Neatypus obliquus</v>
          </cell>
          <cell r="K610" t="str">
            <v>Western footballer</v>
          </cell>
        </row>
        <row r="611">
          <cell r="J611" t="str">
            <v>Notolabrus celidotus</v>
          </cell>
          <cell r="K611" t="str">
            <v>New Zealand spotty wrasse</v>
          </cell>
          <cell r="L611">
            <v>1203425</v>
          </cell>
        </row>
        <row r="612">
          <cell r="J612" t="str">
            <v>Tautogolabrus adspersus</v>
          </cell>
          <cell r="K612" t="str">
            <v>cunner</v>
          </cell>
          <cell r="L612">
            <v>34787</v>
          </cell>
        </row>
        <row r="613">
          <cell r="J613" t="str">
            <v>Labrus mixtus</v>
          </cell>
          <cell r="K613" t="str">
            <v>cuckoo wrasse</v>
          </cell>
          <cell r="L613">
            <v>508554</v>
          </cell>
        </row>
        <row r="614">
          <cell r="J614" t="str">
            <v>Labrus bergylta</v>
          </cell>
          <cell r="K614" t="str">
            <v>ballan wrasse</v>
          </cell>
          <cell r="L614">
            <v>56723</v>
          </cell>
        </row>
        <row r="615">
          <cell r="J615" t="str">
            <v>Symphodus melops</v>
          </cell>
          <cell r="K615" t="str">
            <v>corkwing wrasse</v>
          </cell>
          <cell r="L615">
            <v>171736</v>
          </cell>
        </row>
        <row r="616">
          <cell r="J616" t="str">
            <v>Thalassoma bifasciatum</v>
          </cell>
          <cell r="K616" t="str">
            <v>bluehead wrasse</v>
          </cell>
          <cell r="L616">
            <v>76338</v>
          </cell>
        </row>
        <row r="617">
          <cell r="J617" t="str">
            <v>Notolabrus parilus</v>
          </cell>
          <cell r="K617" t="str">
            <v>brownspotted wrasse</v>
          </cell>
          <cell r="L617">
            <v>248063</v>
          </cell>
        </row>
        <row r="618">
          <cell r="J618" t="str">
            <v>Choerodon schoenleinii</v>
          </cell>
          <cell r="K618" t="str">
            <v>blackspot tuskfish</v>
          </cell>
          <cell r="L618">
            <v>241275</v>
          </cell>
        </row>
        <row r="619">
          <cell r="J619" t="str">
            <v>Olisthops cyanomelas</v>
          </cell>
          <cell r="K619" t="str">
            <v>herring cale</v>
          </cell>
          <cell r="L619">
            <v>1605466</v>
          </cell>
        </row>
        <row r="620">
          <cell r="J620" t="str">
            <v>Heteroscarus acroptilus</v>
          </cell>
          <cell r="K620" t="str">
            <v>rainbow cale</v>
          </cell>
          <cell r="L620">
            <v>1582965</v>
          </cell>
        </row>
        <row r="621">
          <cell r="J621" t="str">
            <v>Drepane punctata</v>
          </cell>
          <cell r="K621" t="str">
            <v>spotted sicklefish</v>
          </cell>
          <cell r="L621">
            <v>75022</v>
          </cell>
        </row>
        <row r="622">
          <cell r="J622" t="str">
            <v>Cottoperca gobio</v>
          </cell>
          <cell r="K622" t="str">
            <v>channel bull blenny</v>
          </cell>
          <cell r="L622">
            <v>56716</v>
          </cell>
        </row>
        <row r="623">
          <cell r="J623" t="str">
            <v>Acanthopagrus latus</v>
          </cell>
          <cell r="K623" t="str">
            <v>yellowfin sea bream</v>
          </cell>
          <cell r="L623">
            <v>8177</v>
          </cell>
        </row>
        <row r="624">
          <cell r="J624" t="str">
            <v>Pholis gunnellus</v>
          </cell>
          <cell r="K624" t="str">
            <v>rock gunnel</v>
          </cell>
          <cell r="L624">
            <v>56726</v>
          </cell>
        </row>
        <row r="625">
          <cell r="J625" t="str">
            <v>Lycodopsis pacificus</v>
          </cell>
          <cell r="K625" t="str">
            <v>blackbelly eelpout</v>
          </cell>
          <cell r="L625">
            <v>1772091</v>
          </cell>
        </row>
        <row r="626">
          <cell r="J626" t="str">
            <v>Melanostigma gelatinosum</v>
          </cell>
          <cell r="K626" t="str">
            <v>limp eelpout</v>
          </cell>
          <cell r="L626">
            <v>1091424</v>
          </cell>
        </row>
        <row r="627">
          <cell r="J627" t="str">
            <v xml:space="preserve">Notothenia rossii </v>
          </cell>
          <cell r="K627" t="str">
            <v>marbled rockcod</v>
          </cell>
          <cell r="L627">
            <v>101497</v>
          </cell>
        </row>
        <row r="628">
          <cell r="J628" t="str">
            <v>Eutrigla gurnardus</v>
          </cell>
          <cell r="K628" t="str">
            <v>grey gurnard</v>
          </cell>
          <cell r="L628">
            <v>426098</v>
          </cell>
        </row>
        <row r="629">
          <cell r="J629" t="str">
            <v>Epinephelus rankini</v>
          </cell>
          <cell r="K629" t="str">
            <v>rankin cod</v>
          </cell>
          <cell r="L629">
            <v>2930458</v>
          </cell>
        </row>
        <row r="630">
          <cell r="J630" t="str">
            <v>Epinephelus lanceolatus</v>
          </cell>
          <cell r="K630" t="str">
            <v>giant grouper</v>
          </cell>
          <cell r="L630">
            <v>310571</v>
          </cell>
        </row>
        <row r="631">
          <cell r="J631" t="str">
            <v>Leviprora inops</v>
          </cell>
          <cell r="K631" t="str">
            <v>longhead flathead</v>
          </cell>
          <cell r="L631">
            <v>1230797</v>
          </cell>
        </row>
        <row r="632">
          <cell r="J632" t="str">
            <v>Chelmon rostratus</v>
          </cell>
          <cell r="K632" t="str">
            <v>copperband butterflyfish</v>
          </cell>
          <cell r="L632">
            <v>109905</v>
          </cell>
        </row>
        <row r="633">
          <cell r="J633" t="str">
            <v>Chaetodon trifascialis</v>
          </cell>
          <cell r="K633" t="str">
            <v>chevron butterflyfish</v>
          </cell>
          <cell r="L633">
            <v>109706</v>
          </cell>
        </row>
        <row r="634">
          <cell r="J634" t="str">
            <v>Datnioides microlepis</v>
          </cell>
          <cell r="K634" t="str">
            <v>Indonesian tiger perch</v>
          </cell>
          <cell r="L634">
            <v>1367090</v>
          </cell>
        </row>
        <row r="635">
          <cell r="J635" t="str">
            <v>Pristipomoides typus</v>
          </cell>
          <cell r="K635" t="str">
            <v>sharptooth jobfish</v>
          </cell>
          <cell r="L635">
            <v>264210</v>
          </cell>
        </row>
        <row r="636">
          <cell r="J636" t="str">
            <v>Lutjanus quinquelineatus</v>
          </cell>
          <cell r="K636" t="str">
            <v>five-lined snapper</v>
          </cell>
          <cell r="L636">
            <v>396789</v>
          </cell>
        </row>
        <row r="637">
          <cell r="J637" t="str">
            <v>Lutjanus carponotatus</v>
          </cell>
          <cell r="K637" t="str">
            <v>stripey snapper</v>
          </cell>
          <cell r="L637">
            <v>396785</v>
          </cell>
        </row>
        <row r="638">
          <cell r="J638" t="str">
            <v>Lutjanus fulviflamma</v>
          </cell>
          <cell r="K638" t="str">
            <v>blackspot snapper</v>
          </cell>
          <cell r="L638">
            <v>260525</v>
          </cell>
        </row>
        <row r="639">
          <cell r="J639" t="str">
            <v>Lutjanus russellii</v>
          </cell>
          <cell r="K639" t="str">
            <v>Moses' snapper</v>
          </cell>
          <cell r="L639">
            <v>232193</v>
          </cell>
        </row>
        <row r="640">
          <cell r="J640" t="str">
            <v>Lutjanus sebae</v>
          </cell>
          <cell r="K640" t="str">
            <v>red emperor</v>
          </cell>
          <cell r="L640">
            <v>232192</v>
          </cell>
        </row>
        <row r="641">
          <cell r="J641" t="str">
            <v>Lutjanus vitta</v>
          </cell>
          <cell r="K641" t="str">
            <v>brownstripe snapper</v>
          </cell>
          <cell r="L641">
            <v>379402</v>
          </cell>
        </row>
        <row r="642">
          <cell r="J642" t="str">
            <v>Lutjanus erythropterus</v>
          </cell>
          <cell r="K642" t="str">
            <v>crimson snapper</v>
          </cell>
          <cell r="L642">
            <v>211835</v>
          </cell>
        </row>
        <row r="643">
          <cell r="J643" t="str">
            <v>Symphorus nematophorus</v>
          </cell>
          <cell r="K643" t="str">
            <v>chinamanfish</v>
          </cell>
          <cell r="L643">
            <v>396798</v>
          </cell>
        </row>
        <row r="644">
          <cell r="J644" t="str">
            <v>Caesio teres</v>
          </cell>
          <cell r="K644" t="str">
            <v>yellow and blueback fusilier</v>
          </cell>
          <cell r="L644">
            <v>1311420</v>
          </cell>
        </row>
        <row r="645">
          <cell r="J645" t="str">
            <v>Ctenochaetus striatus</v>
          </cell>
          <cell r="K645" t="str">
            <v>striated surgeonfish</v>
          </cell>
          <cell r="L645">
            <v>175436</v>
          </cell>
        </row>
        <row r="646">
          <cell r="J646" t="str">
            <v>Pristigenys meyeri</v>
          </cell>
          <cell r="K646" t="str">
            <v>redstripe bigeye</v>
          </cell>
          <cell r="L646">
            <v>1609310</v>
          </cell>
        </row>
        <row r="647">
          <cell r="J647" t="str">
            <v>Parequula melbournensis</v>
          </cell>
          <cell r="K647" t="str">
            <v>silverbelly</v>
          </cell>
          <cell r="L647">
            <v>548269</v>
          </cell>
        </row>
        <row r="648">
          <cell r="J648" t="str">
            <v>Sparus aurata</v>
          </cell>
          <cell r="K648" t="str">
            <v>gilthead seabream</v>
          </cell>
          <cell r="L648">
            <v>8175</v>
          </cell>
        </row>
        <row r="649">
          <cell r="J649" t="str">
            <v>Pagrus pagrus</v>
          </cell>
          <cell r="K649" t="str">
            <v>common seabream</v>
          </cell>
          <cell r="L649">
            <v>8173</v>
          </cell>
        </row>
        <row r="650">
          <cell r="J650" t="str">
            <v>Acanthopagrus schlegelii</v>
          </cell>
          <cell r="K650" t="str">
            <v>black porgy</v>
          </cell>
          <cell r="L650">
            <v>72011</v>
          </cell>
        </row>
        <row r="651">
          <cell r="J651" t="str">
            <v>Lethrinus nebulosus</v>
          </cell>
          <cell r="K651" t="str">
            <v>spangled emperor</v>
          </cell>
          <cell r="L651">
            <v>182658</v>
          </cell>
        </row>
        <row r="652">
          <cell r="J652" t="str">
            <v>Lethrinus laticaudis</v>
          </cell>
          <cell r="K652" t="str">
            <v>grass snapper</v>
          </cell>
          <cell r="L652">
            <v>182655</v>
          </cell>
        </row>
        <row r="653">
          <cell r="J653" t="str">
            <v>Antennarius maculatus</v>
          </cell>
          <cell r="K653" t="str">
            <v>warty frogfish</v>
          </cell>
          <cell r="L653">
            <v>882753</v>
          </cell>
        </row>
        <row r="654">
          <cell r="J654" t="str">
            <v>Takifugu rubripes</v>
          </cell>
          <cell r="K654" t="str">
            <v>Japanese puffer (torafugu)</v>
          </cell>
          <cell r="L654">
            <v>31033</v>
          </cell>
        </row>
        <row r="655">
          <cell r="J655" t="str">
            <v>Diodon nicthemerus</v>
          </cell>
          <cell r="K655" t="str">
            <v>globefish</v>
          </cell>
          <cell r="L655">
            <v>1329242</v>
          </cell>
        </row>
        <row r="656">
          <cell r="J656" t="str">
            <v>Melichthys vidua</v>
          </cell>
          <cell r="K656" t="str">
            <v>pinktail triggerfish</v>
          </cell>
          <cell r="L656">
            <v>392900</v>
          </cell>
        </row>
        <row r="657">
          <cell r="J657" t="str">
            <v>Ranzania laevis</v>
          </cell>
          <cell r="K657" t="str">
            <v>slender sunfish</v>
          </cell>
          <cell r="L657">
            <v>215407</v>
          </cell>
        </row>
        <row r="658">
          <cell r="J658" t="str">
            <v>Pempheris klunzingeri</v>
          </cell>
          <cell r="K658" t="str">
            <v>rough bullseye</v>
          </cell>
          <cell r="L658">
            <v>490270</v>
          </cell>
        </row>
        <row r="659">
          <cell r="J659" t="str">
            <v>Pempheris schomburgkii</v>
          </cell>
          <cell r="K659" t="str">
            <v>copper sweeper</v>
          </cell>
          <cell r="L659">
            <v>1182198</v>
          </cell>
        </row>
        <row r="660">
          <cell r="J660" t="str">
            <v>Pentaceropsis recurvirostris</v>
          </cell>
          <cell r="K660" t="str">
            <v>longsnout boarfish</v>
          </cell>
          <cell r="L660">
            <v>334889</v>
          </cell>
        </row>
        <row r="661">
          <cell r="J661" t="str">
            <v>Lateolabrax maculatus</v>
          </cell>
          <cell r="K661" t="str">
            <v>Chinese sea bass</v>
          </cell>
          <cell r="L661">
            <v>315492</v>
          </cell>
        </row>
        <row r="662">
          <cell r="J662" t="str">
            <v>Sphaeramia orbicularis</v>
          </cell>
          <cell r="K662" t="str">
            <v>orbiculate cardinalfish</v>
          </cell>
          <cell r="L662">
            <v>375764</v>
          </cell>
        </row>
        <row r="663">
          <cell r="J663" t="str">
            <v>Gouania willdenowi</v>
          </cell>
          <cell r="K663" t="str">
            <v>blunt-snouted clingfish</v>
          </cell>
          <cell r="L663">
            <v>441366</v>
          </cell>
        </row>
        <row r="664">
          <cell r="J664" t="str">
            <v>Echiichthys vipera</v>
          </cell>
          <cell r="K664" t="str">
            <v>lesser weever</v>
          </cell>
          <cell r="L664">
            <v>94984</v>
          </cell>
        </row>
        <row r="665">
          <cell r="J665" t="str">
            <v>Cyclopterus lumpus</v>
          </cell>
          <cell r="K665" t="str">
            <v>lumpfish</v>
          </cell>
          <cell r="L665">
            <v>8103</v>
          </cell>
        </row>
        <row r="666">
          <cell r="J666" t="str">
            <v>Sebastes umbrosus</v>
          </cell>
          <cell r="K666" t="str">
            <v>honeycomb rockfish</v>
          </cell>
          <cell r="L666">
            <v>72105</v>
          </cell>
        </row>
        <row r="667">
          <cell r="J667" t="str">
            <v>Sebastes fasciatus</v>
          </cell>
          <cell r="K667" t="str">
            <v>Acadian redfish</v>
          </cell>
          <cell r="L667">
            <v>394691</v>
          </cell>
        </row>
        <row r="668">
          <cell r="J668" t="str">
            <v>Sebastes mentella</v>
          </cell>
          <cell r="K668" t="str">
            <v>Deepwater redfish</v>
          </cell>
          <cell r="L668">
            <v>394696</v>
          </cell>
        </row>
        <row r="669">
          <cell r="J669" t="str">
            <v>Taurulus bubalis</v>
          </cell>
          <cell r="K669" t="str">
            <v>long-spined sea scorpion</v>
          </cell>
          <cell r="L669">
            <v>61643</v>
          </cell>
        </row>
        <row r="670">
          <cell r="J670" t="str">
            <v>Myoxocephalus scorpius</v>
          </cell>
          <cell r="K670" t="str">
            <v>shorthorn sculpin</v>
          </cell>
          <cell r="L670">
            <v>8097</v>
          </cell>
        </row>
        <row r="671">
          <cell r="J671" t="str">
            <v>Spinachia spinachia</v>
          </cell>
          <cell r="K671" t="str">
            <v>sea stickleback</v>
          </cell>
          <cell r="L671">
            <v>206126</v>
          </cell>
        </row>
        <row r="672">
          <cell r="J672" t="str">
            <v>Pungitius pungitius</v>
          </cell>
          <cell r="K672" t="str">
            <v>ninespine stickleback</v>
          </cell>
          <cell r="L672">
            <v>134920</v>
          </cell>
        </row>
        <row r="673">
          <cell r="J673" t="str">
            <v>Gasterosteus aculeatus</v>
          </cell>
          <cell r="K673" t="str">
            <v>three-spined stickleback</v>
          </cell>
          <cell r="L673">
            <v>69293</v>
          </cell>
        </row>
        <row r="674">
          <cell r="J674" t="str">
            <v>Neosynchiropus ocellatus</v>
          </cell>
          <cell r="K674" t="str">
            <v>ocellated dragonet</v>
          </cell>
          <cell r="L674">
            <v>34785</v>
          </cell>
        </row>
        <row r="675">
          <cell r="J675" t="str">
            <v>Synchiropus picturatus</v>
          </cell>
          <cell r="K675" t="str">
            <v>picturesque dragonet</v>
          </cell>
          <cell r="L675">
            <v>586865</v>
          </cell>
        </row>
        <row r="676">
          <cell r="J676" t="str">
            <v>Hydrolagus colliei</v>
          </cell>
          <cell r="K676" t="str">
            <v>spotted ratfish</v>
          </cell>
          <cell r="L676">
            <v>7873</v>
          </cell>
        </row>
        <row r="677">
          <cell r="J677" t="str">
            <v>Heterodontus francisci</v>
          </cell>
          <cell r="K677" t="str">
            <v>horn shark</v>
          </cell>
          <cell r="L677">
            <v>7792</v>
          </cell>
        </row>
        <row r="678">
          <cell r="J678" t="str">
            <v>Heterodontus portusjacksoni</v>
          </cell>
          <cell r="K678" t="str">
            <v>Port Jackson shark</v>
          </cell>
          <cell r="L678">
            <v>7793</v>
          </cell>
        </row>
        <row r="679">
          <cell r="J679" t="str">
            <v>Hemiscyllium ocellatum</v>
          </cell>
          <cell r="K679" t="str">
            <v>epaulette shark</v>
          </cell>
          <cell r="L679">
            <v>170820</v>
          </cell>
        </row>
        <row r="680">
          <cell r="J680" t="str">
            <v>Stegostoma tigrinum</v>
          </cell>
          <cell r="K680" t="str">
            <v>zebra shark</v>
          </cell>
          <cell r="L680">
            <v>3053191</v>
          </cell>
        </row>
        <row r="681">
          <cell r="J681" t="str">
            <v>Orectolobus wardi</v>
          </cell>
          <cell r="K681" t="str">
            <v>Northern wobbegong</v>
          </cell>
          <cell r="L681">
            <v>582430</v>
          </cell>
        </row>
        <row r="682">
          <cell r="J682" t="str">
            <v>Carcharodon carcharias</v>
          </cell>
          <cell r="K682" t="str">
            <v>great white shark</v>
          </cell>
          <cell r="L682">
            <v>13397</v>
          </cell>
        </row>
        <row r="683">
          <cell r="J683" t="str">
            <v>Cetorhinus maximus</v>
          </cell>
          <cell r="K683" t="str">
            <v>basking shark</v>
          </cell>
          <cell r="L683">
            <v>57982</v>
          </cell>
        </row>
        <row r="684">
          <cell r="J684" t="str">
            <v>Carcharias taurus</v>
          </cell>
          <cell r="K684" t="str">
            <v>sand tiger shark</v>
          </cell>
          <cell r="L684">
            <v>1810</v>
          </cell>
        </row>
        <row r="685">
          <cell r="J685" t="str">
            <v>Scyliorhinus canicula</v>
          </cell>
          <cell r="K685" t="str">
            <v>small-spotted catshark</v>
          </cell>
          <cell r="L685">
            <v>7830</v>
          </cell>
        </row>
        <row r="686">
          <cell r="J686" t="str">
            <v>Mustelus asterias</v>
          </cell>
          <cell r="K686" t="str">
            <v>starry smooth-hound shark</v>
          </cell>
          <cell r="L686">
            <v>112232</v>
          </cell>
        </row>
        <row r="687">
          <cell r="J687" t="str">
            <v>Galeorhinus galeus</v>
          </cell>
          <cell r="K687" t="str">
            <v>school shark</v>
          </cell>
          <cell r="L687">
            <v>86063</v>
          </cell>
        </row>
        <row r="688">
          <cell r="J688" t="str">
            <v>Heptranchias perlo</v>
          </cell>
          <cell r="K688" t="str">
            <v>sharpnose sevengill shark</v>
          </cell>
          <cell r="L688">
            <v>212740</v>
          </cell>
        </row>
        <row r="689">
          <cell r="J689" t="str">
            <v>Squalus suckleyi</v>
          </cell>
          <cell r="K689" t="str">
            <v>Pacific spiny dogfish</v>
          </cell>
          <cell r="L689">
            <v>7797</v>
          </cell>
        </row>
        <row r="690">
          <cell r="J690" t="str">
            <v xml:space="preserve">Echinorhinus cookei </v>
          </cell>
          <cell r="K690" t="str">
            <v>prickly shark</v>
          </cell>
          <cell r="L690">
            <v>7834</v>
          </cell>
        </row>
        <row r="691">
          <cell r="J691" t="str">
            <v>Squatina dumeril</v>
          </cell>
          <cell r="K691" t="str">
            <v>Atlantic angel shark</v>
          </cell>
          <cell r="L691">
            <v>303946</v>
          </cell>
        </row>
        <row r="692">
          <cell r="J692" t="str">
            <v>Pristiophorus japonicus</v>
          </cell>
          <cell r="K692" t="str">
            <v>Japanese sawshark</v>
          </cell>
          <cell r="L692">
            <v>55135</v>
          </cell>
        </row>
        <row r="693">
          <cell r="J693" t="str">
            <v>Narcine bancroftii</v>
          </cell>
          <cell r="K693" t="str">
            <v>lesser electric ray</v>
          </cell>
          <cell r="L693">
            <v>1343680</v>
          </cell>
        </row>
        <row r="694">
          <cell r="J694" t="str">
            <v>Amblyraja radiata</v>
          </cell>
          <cell r="K694" t="str">
            <v>thorny skate</v>
          </cell>
          <cell r="L694">
            <v>386614</v>
          </cell>
        </row>
        <row r="695">
          <cell r="J695" t="str">
            <v>Raja brachyura</v>
          </cell>
          <cell r="K695" t="str">
            <v>blonde ray</v>
          </cell>
          <cell r="L695">
            <v>223862</v>
          </cell>
        </row>
        <row r="696">
          <cell r="J696" t="str">
            <v>Pristis pectinata</v>
          </cell>
          <cell r="K696" t="str">
            <v>smalltooth sawfish</v>
          </cell>
          <cell r="L696">
            <v>685728</v>
          </cell>
        </row>
        <row r="697">
          <cell r="J697" t="str">
            <v>Hypanus sabinus</v>
          </cell>
          <cell r="K697" t="str">
            <v>Atlantic stingray</v>
          </cell>
          <cell r="L697">
            <v>79690</v>
          </cell>
        </row>
        <row r="698">
          <cell r="J698" t="str">
            <v>Potamotrygon marinae</v>
          </cell>
          <cell r="K698" t="str">
            <v>gold dust stingray</v>
          </cell>
          <cell r="L698">
            <v>2803083</v>
          </cell>
        </row>
        <row r="699">
          <cell r="J699" t="str">
            <v>Mobula birostris</v>
          </cell>
          <cell r="K699" t="str">
            <v>Atlantic manta ray</v>
          </cell>
          <cell r="L699">
            <v>1983395</v>
          </cell>
        </row>
        <row r="700">
          <cell r="J700" t="str">
            <v>Latimeria chalumnae</v>
          </cell>
          <cell r="K700" t="str">
            <v>African coelacanth</v>
          </cell>
          <cell r="L700">
            <v>7897</v>
          </cell>
        </row>
        <row r="701">
          <cell r="J701" t="str">
            <v>Protopterus annectens</v>
          </cell>
          <cell r="K701" t="str">
            <v>West African lungfish</v>
          </cell>
          <cell r="L701">
            <v>7888</v>
          </cell>
        </row>
        <row r="702">
          <cell r="J702" t="str">
            <v>Myxine glutinosa</v>
          </cell>
          <cell r="K702" t="str">
            <v>Atlantic hagfish</v>
          </cell>
          <cell r="L702">
            <v>7769</v>
          </cell>
        </row>
        <row r="703">
          <cell r="J703" t="str">
            <v>Petromyzon marinus</v>
          </cell>
          <cell r="K703" t="str">
            <v>sea lamprey</v>
          </cell>
          <cell r="L703">
            <v>7757</v>
          </cell>
        </row>
        <row r="704">
          <cell r="J704" t="str">
            <v>Lampetra fluviatilis</v>
          </cell>
          <cell r="K704" t="str">
            <v>European river lamprey</v>
          </cell>
          <cell r="L704">
            <v>7748</v>
          </cell>
        </row>
        <row r="705">
          <cell r="J705" t="str">
            <v>Branchiostoma lanceolatum</v>
          </cell>
          <cell r="K705" t="str">
            <v>European lancelet</v>
          </cell>
          <cell r="L705">
            <v>7740</v>
          </cell>
        </row>
        <row r="706">
          <cell r="J706" t="str">
            <v>Branchiostoma belcheri</v>
          </cell>
          <cell r="K706" t="str">
            <v>Belcher's lancelet</v>
          </cell>
          <cell r="L706">
            <v>7741</v>
          </cell>
        </row>
        <row r="707">
          <cell r="J707" t="str">
            <v>Branchiostoma floridae</v>
          </cell>
          <cell r="K707" t="str">
            <v>Florida amphioxus</v>
          </cell>
          <cell r="L707">
            <v>7739</v>
          </cell>
        </row>
        <row r="708">
          <cell r="J708" t="str">
            <v>Aplidium turbinatum</v>
          </cell>
          <cell r="K708" t="str">
            <v>clonial sea squirt</v>
          </cell>
          <cell r="L708">
            <v>2771288</v>
          </cell>
        </row>
        <row r="709">
          <cell r="J709" t="str">
            <v>Corella eumyota</v>
          </cell>
          <cell r="K709" t="str">
            <v>Orange-tipped sea squirt</v>
          </cell>
          <cell r="L709">
            <v>431183</v>
          </cell>
        </row>
        <row r="710">
          <cell r="J710" t="str">
            <v>Clavelina lepadiformis</v>
          </cell>
          <cell r="K710" t="str">
            <v>light-bulb sea squirt</v>
          </cell>
          <cell r="L710">
            <v>159417</v>
          </cell>
        </row>
        <row r="711">
          <cell r="J711" t="str">
            <v>Styela clava</v>
          </cell>
          <cell r="K711" t="str">
            <v>leathery sea squirt</v>
          </cell>
          <cell r="L711">
            <v>7725</v>
          </cell>
        </row>
        <row r="712">
          <cell r="J712" t="str">
            <v>Ascidiella aspersa</v>
          </cell>
          <cell r="K712" t="str">
            <v>European sea squirt</v>
          </cell>
          <cell r="L712">
            <v>201961</v>
          </cell>
        </row>
        <row r="713">
          <cell r="J713" t="str">
            <v>Ascidia mentula</v>
          </cell>
          <cell r="K713" t="str">
            <v>pink sea squirt</v>
          </cell>
          <cell r="L713">
            <v>38561</v>
          </cell>
        </row>
        <row r="714">
          <cell r="J714" t="str">
            <v>Trididemnum clinides</v>
          </cell>
          <cell r="K714" t="str">
            <v>Trididemnum clinides</v>
          </cell>
          <cell r="L714">
            <v>641091</v>
          </cell>
        </row>
        <row r="715">
          <cell r="J715" t="str">
            <v>Thalia democratica</v>
          </cell>
          <cell r="K715" t="str">
            <v>Thalia democratica</v>
          </cell>
          <cell r="L715">
            <v>34761</v>
          </cell>
        </row>
        <row r="716">
          <cell r="J716" t="str">
            <v>Asterias rubens</v>
          </cell>
          <cell r="K716" t="str">
            <v>common starfish</v>
          </cell>
          <cell r="L716">
            <v>7604</v>
          </cell>
        </row>
        <row r="717">
          <cell r="J717" t="str">
            <v>Balanoglossus misakiensis</v>
          </cell>
          <cell r="K717" t="str">
            <v>acorn worm</v>
          </cell>
          <cell r="L717">
            <v>10224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759F-2CAE-3F42-83E0-208744DCD15E}">
  <sheetPr>
    <tabColor rgb="FF00B0F0"/>
  </sheetPr>
  <dimension ref="A1:M81"/>
  <sheetViews>
    <sheetView tabSelected="1" zoomScale="120" zoomScaleNormal="120" workbookViewId="0">
      <selection activeCell="A2" sqref="A2"/>
    </sheetView>
  </sheetViews>
  <sheetFormatPr baseColWidth="10" defaultRowHeight="16" x14ac:dyDescent="0.2"/>
  <cols>
    <col min="1" max="1" width="49.1640625" bestFit="1" customWidth="1"/>
    <col min="2" max="2" width="22.6640625" bestFit="1" customWidth="1"/>
    <col min="3" max="4" width="22.6640625" style="6" customWidth="1"/>
    <col min="5" max="5" width="27.1640625" bestFit="1" customWidth="1"/>
    <col min="6" max="6" width="27" bestFit="1" customWidth="1"/>
    <col min="7" max="7" width="27.5" bestFit="1" customWidth="1"/>
    <col min="8" max="8" width="17.83203125" bestFit="1" customWidth="1"/>
    <col min="9" max="9" width="15.6640625" customWidth="1"/>
    <col min="10" max="10" width="75.6640625" bestFit="1" customWidth="1"/>
    <col min="11" max="13" width="6.33203125" customWidth="1"/>
  </cols>
  <sheetData>
    <row r="1" spans="1:13" x14ac:dyDescent="0.2">
      <c r="A1" s="1"/>
      <c r="B1" s="1"/>
      <c r="C1" s="5"/>
      <c r="D1" s="5"/>
      <c r="E1" s="1"/>
      <c r="F1" s="1"/>
      <c r="G1" s="1"/>
      <c r="H1" s="1"/>
      <c r="I1" s="1"/>
      <c r="J1" s="1"/>
      <c r="K1" s="12" t="s">
        <v>4</v>
      </c>
      <c r="L1" s="12"/>
      <c r="M1" s="12"/>
    </row>
    <row r="2" spans="1:13" s="9" customFormat="1" ht="51" x14ac:dyDescent="0.2">
      <c r="A2" s="10" t="s">
        <v>6</v>
      </c>
      <c r="B2" s="10" t="s">
        <v>2</v>
      </c>
      <c r="C2" s="11" t="s">
        <v>320</v>
      </c>
      <c r="D2" s="11" t="s">
        <v>321</v>
      </c>
      <c r="E2" s="10" t="s">
        <v>1</v>
      </c>
      <c r="F2" s="10" t="s">
        <v>7</v>
      </c>
      <c r="G2" s="10" t="s">
        <v>8</v>
      </c>
      <c r="H2" s="10" t="s">
        <v>0</v>
      </c>
      <c r="I2" s="10" t="s">
        <v>3</v>
      </c>
      <c r="J2" s="10" t="s">
        <v>5</v>
      </c>
      <c r="K2" s="10" t="s">
        <v>12</v>
      </c>
      <c r="L2" s="10" t="s">
        <v>214</v>
      </c>
      <c r="M2" s="10" t="s">
        <v>188</v>
      </c>
    </row>
    <row r="3" spans="1:13" x14ac:dyDescent="0.2">
      <c r="A3" s="2" t="s">
        <v>43</v>
      </c>
      <c r="B3" s="3" t="s">
        <v>41</v>
      </c>
      <c r="C3" s="8" t="s">
        <v>345</v>
      </c>
      <c r="D3" s="8">
        <v>432798</v>
      </c>
      <c r="E3" t="s">
        <v>40</v>
      </c>
      <c r="F3" s="3" t="s">
        <v>44</v>
      </c>
      <c r="G3" t="s">
        <v>45</v>
      </c>
      <c r="H3" s="3" t="s">
        <v>39</v>
      </c>
      <c r="I3">
        <v>2756528269</v>
      </c>
      <c r="J3" t="s">
        <v>42</v>
      </c>
      <c r="K3">
        <v>1</v>
      </c>
    </row>
    <row r="4" spans="1:13" x14ac:dyDescent="0.2">
      <c r="A4" s="3" t="s">
        <v>173</v>
      </c>
      <c r="B4" s="3" t="s">
        <v>205</v>
      </c>
      <c r="C4" s="8" t="s">
        <v>347</v>
      </c>
      <c r="D4" s="8">
        <v>173042</v>
      </c>
      <c r="E4" t="s">
        <v>288</v>
      </c>
      <c r="F4" s="3" t="s">
        <v>289</v>
      </c>
      <c r="G4" t="s">
        <v>207</v>
      </c>
      <c r="H4" s="3" t="s">
        <v>287</v>
      </c>
      <c r="I4">
        <v>1216631848</v>
      </c>
      <c r="J4" t="s">
        <v>76</v>
      </c>
      <c r="M4">
        <v>1</v>
      </c>
    </row>
    <row r="5" spans="1:13" x14ac:dyDescent="0.2">
      <c r="A5" s="3" t="s">
        <v>173</v>
      </c>
      <c r="B5" s="3" t="s">
        <v>205</v>
      </c>
      <c r="C5" s="8" t="s">
        <v>347</v>
      </c>
      <c r="D5" s="8">
        <v>173042</v>
      </c>
      <c r="E5" t="s">
        <v>204</v>
      </c>
      <c r="F5" s="3" t="s">
        <v>206</v>
      </c>
      <c r="G5" t="s">
        <v>207</v>
      </c>
      <c r="H5" s="3" t="s">
        <v>203</v>
      </c>
      <c r="I5">
        <v>3442336536</v>
      </c>
      <c r="J5" t="s">
        <v>76</v>
      </c>
      <c r="M5">
        <v>1</v>
      </c>
    </row>
    <row r="6" spans="1:13" x14ac:dyDescent="0.2">
      <c r="A6" s="3" t="s">
        <v>173</v>
      </c>
      <c r="B6" s="3" t="s">
        <v>172</v>
      </c>
      <c r="C6" s="8" t="s">
        <v>346</v>
      </c>
      <c r="D6" s="8">
        <v>1072478</v>
      </c>
      <c r="E6" t="s">
        <v>303</v>
      </c>
      <c r="F6" s="3" t="s">
        <v>304</v>
      </c>
      <c r="G6" t="s">
        <v>175</v>
      </c>
      <c r="H6" s="3" t="s">
        <v>302</v>
      </c>
      <c r="I6">
        <v>1489669519</v>
      </c>
      <c r="J6" t="s">
        <v>76</v>
      </c>
      <c r="M6">
        <v>1</v>
      </c>
    </row>
    <row r="7" spans="1:13" x14ac:dyDescent="0.2">
      <c r="A7" s="3" t="s">
        <v>173</v>
      </c>
      <c r="B7" s="3" t="s">
        <v>172</v>
      </c>
      <c r="C7" s="8" t="s">
        <v>346</v>
      </c>
      <c r="D7" s="8">
        <v>1072478</v>
      </c>
      <c r="E7" t="s">
        <v>171</v>
      </c>
      <c r="F7" s="3" t="s">
        <v>174</v>
      </c>
      <c r="G7" t="s">
        <v>175</v>
      </c>
      <c r="H7" s="3" t="s">
        <v>170</v>
      </c>
      <c r="I7">
        <v>1943516005</v>
      </c>
      <c r="J7" t="s">
        <v>76</v>
      </c>
      <c r="K7">
        <v>1</v>
      </c>
    </row>
    <row r="8" spans="1:13" x14ac:dyDescent="0.2">
      <c r="A8" s="2" t="s">
        <v>173</v>
      </c>
      <c r="B8" s="3" t="s">
        <v>142</v>
      </c>
      <c r="C8" s="6" t="s">
        <v>331</v>
      </c>
      <c r="D8" s="6">
        <v>7797</v>
      </c>
      <c r="E8" t="s">
        <v>306</v>
      </c>
      <c r="F8" s="3" t="s">
        <v>308</v>
      </c>
      <c r="G8" t="s">
        <v>309</v>
      </c>
      <c r="H8" s="3" t="s">
        <v>305</v>
      </c>
      <c r="I8">
        <v>4756692049</v>
      </c>
      <c r="J8" t="s">
        <v>307</v>
      </c>
      <c r="M8">
        <v>1</v>
      </c>
    </row>
    <row r="9" spans="1:13" x14ac:dyDescent="0.2">
      <c r="A9" s="3" t="s">
        <v>200</v>
      </c>
      <c r="B9" s="3" t="s">
        <v>199</v>
      </c>
      <c r="C9" s="8" t="s">
        <v>350</v>
      </c>
      <c r="D9" s="8">
        <v>57983</v>
      </c>
      <c r="E9" t="s">
        <v>198</v>
      </c>
      <c r="F9" s="3" t="s">
        <v>201</v>
      </c>
      <c r="G9" t="s">
        <v>202</v>
      </c>
      <c r="H9" s="3" t="s">
        <v>197</v>
      </c>
      <c r="I9">
        <v>4975480707</v>
      </c>
      <c r="J9" t="s">
        <v>50</v>
      </c>
      <c r="M9">
        <v>1</v>
      </c>
    </row>
    <row r="10" spans="1:13" x14ac:dyDescent="0.2">
      <c r="A10" s="2" t="s">
        <v>200</v>
      </c>
      <c r="B10" s="3" t="s">
        <v>210</v>
      </c>
      <c r="C10" s="8" t="s">
        <v>340</v>
      </c>
      <c r="D10" s="8">
        <v>195334</v>
      </c>
      <c r="E10" t="s">
        <v>209</v>
      </c>
      <c r="F10" s="3" t="s">
        <v>212</v>
      </c>
      <c r="G10" t="s">
        <v>213</v>
      </c>
      <c r="H10" s="3" t="s">
        <v>208</v>
      </c>
      <c r="I10">
        <v>2772710839</v>
      </c>
      <c r="J10" t="s">
        <v>211</v>
      </c>
      <c r="M10">
        <v>1</v>
      </c>
    </row>
    <row r="11" spans="1:13" x14ac:dyDescent="0.2">
      <c r="A11" s="2" t="s">
        <v>247</v>
      </c>
      <c r="B11" s="3" t="s">
        <v>11</v>
      </c>
      <c r="C11" s="8" t="s">
        <v>349</v>
      </c>
      <c r="D11" s="8">
        <v>7782</v>
      </c>
      <c r="E11" t="s">
        <v>245</v>
      </c>
      <c r="F11" s="3" t="s">
        <v>248</v>
      </c>
      <c r="G11" t="s">
        <v>249</v>
      </c>
      <c r="H11" s="3" t="s">
        <v>244</v>
      </c>
      <c r="I11">
        <v>2132109312</v>
      </c>
      <c r="J11" t="s">
        <v>246</v>
      </c>
      <c r="M11">
        <v>1</v>
      </c>
    </row>
    <row r="12" spans="1:13" x14ac:dyDescent="0.2">
      <c r="A12" s="2" t="s">
        <v>265</v>
      </c>
      <c r="B12" s="3" t="s">
        <v>37</v>
      </c>
      <c r="C12" s="8" t="s">
        <v>343</v>
      </c>
      <c r="D12" s="8">
        <v>259920</v>
      </c>
      <c r="E12" t="s">
        <v>263</v>
      </c>
      <c r="F12" s="3" t="s">
        <v>266</v>
      </c>
      <c r="G12" t="s">
        <v>267</v>
      </c>
      <c r="H12" s="3" t="s">
        <v>262</v>
      </c>
      <c r="I12">
        <v>2961781270</v>
      </c>
      <c r="J12" t="s">
        <v>264</v>
      </c>
      <c r="M12">
        <v>1</v>
      </c>
    </row>
    <row r="13" spans="1:13" x14ac:dyDescent="0.2">
      <c r="A13" s="2" t="s">
        <v>180</v>
      </c>
      <c r="B13" s="3" t="s">
        <v>178</v>
      </c>
      <c r="C13" s="8" t="s">
        <v>348</v>
      </c>
      <c r="D13" s="8">
        <v>223888</v>
      </c>
      <c r="E13" t="s">
        <v>177</v>
      </c>
      <c r="F13" s="3" t="s">
        <v>181</v>
      </c>
      <c r="G13" t="s">
        <v>182</v>
      </c>
      <c r="H13" s="3" t="s">
        <v>176</v>
      </c>
      <c r="I13">
        <v>2368896861</v>
      </c>
      <c r="J13" t="s">
        <v>179</v>
      </c>
      <c r="K13">
        <v>1</v>
      </c>
    </row>
    <row r="14" spans="1:13" x14ac:dyDescent="0.2">
      <c r="A14" s="3" t="s">
        <v>193</v>
      </c>
      <c r="B14" s="3" t="s">
        <v>191</v>
      </c>
      <c r="C14" s="8" t="s">
        <v>354</v>
      </c>
      <c r="D14" s="8">
        <v>7868</v>
      </c>
      <c r="E14" t="s">
        <v>190</v>
      </c>
      <c r="F14" s="3" t="s">
        <v>194</v>
      </c>
      <c r="G14" t="s">
        <v>195</v>
      </c>
      <c r="H14" s="3" t="s">
        <v>189</v>
      </c>
      <c r="I14">
        <v>991519186</v>
      </c>
      <c r="J14" t="s">
        <v>192</v>
      </c>
      <c r="M14">
        <v>1</v>
      </c>
    </row>
    <row r="15" spans="1:13" x14ac:dyDescent="0.2">
      <c r="A15" s="2" t="s">
        <v>193</v>
      </c>
      <c r="B15" s="3" t="s">
        <v>191</v>
      </c>
      <c r="C15" s="8" t="s">
        <v>354</v>
      </c>
      <c r="D15" s="8">
        <v>7868</v>
      </c>
      <c r="E15" t="s">
        <v>190</v>
      </c>
      <c r="F15" s="3" t="s">
        <v>194</v>
      </c>
      <c r="G15" t="s">
        <v>195</v>
      </c>
      <c r="H15" s="3" t="s">
        <v>196</v>
      </c>
      <c r="I15">
        <v>991519186</v>
      </c>
      <c r="J15" t="s">
        <v>192</v>
      </c>
      <c r="M15">
        <v>1</v>
      </c>
    </row>
    <row r="16" spans="1:13" x14ac:dyDescent="0.2">
      <c r="A16" s="2" t="s">
        <v>77</v>
      </c>
      <c r="B16" s="3" t="s">
        <v>75</v>
      </c>
      <c r="C16" s="8" t="s">
        <v>341</v>
      </c>
      <c r="D16" s="8">
        <v>191813</v>
      </c>
      <c r="E16" t="s">
        <v>74</v>
      </c>
      <c r="F16" s="3" t="s">
        <v>78</v>
      </c>
      <c r="G16" t="s">
        <v>79</v>
      </c>
      <c r="H16" s="3" t="s">
        <v>73</v>
      </c>
      <c r="I16">
        <v>6448606148</v>
      </c>
      <c r="J16" t="s">
        <v>76</v>
      </c>
      <c r="K16">
        <v>1</v>
      </c>
    </row>
    <row r="17" spans="1:13" x14ac:dyDescent="0.2">
      <c r="A17" s="2" t="s">
        <v>70</v>
      </c>
      <c r="B17" s="3" t="s">
        <v>69</v>
      </c>
      <c r="C17" s="8" t="s">
        <v>339</v>
      </c>
      <c r="D17" s="8">
        <v>7797</v>
      </c>
      <c r="E17" t="s">
        <v>68</v>
      </c>
      <c r="F17" s="3" t="s">
        <v>71</v>
      </c>
      <c r="G17" t="s">
        <v>72</v>
      </c>
      <c r="H17" s="3" t="s">
        <v>67</v>
      </c>
      <c r="I17">
        <v>3713488297</v>
      </c>
      <c r="J17" t="s">
        <v>50</v>
      </c>
      <c r="K17">
        <v>1</v>
      </c>
    </row>
    <row r="18" spans="1:13" x14ac:dyDescent="0.2">
      <c r="A18" s="2" t="s">
        <v>217</v>
      </c>
      <c r="B18" s="3" t="s">
        <v>41</v>
      </c>
      <c r="C18" s="8" t="s">
        <v>345</v>
      </c>
      <c r="D18" s="8">
        <v>432798</v>
      </c>
      <c r="E18" t="s">
        <v>216</v>
      </c>
      <c r="F18" s="3" t="s">
        <v>218</v>
      </c>
      <c r="G18" t="s">
        <v>219</v>
      </c>
      <c r="H18" s="3" t="s">
        <v>215</v>
      </c>
      <c r="I18">
        <v>2705578959</v>
      </c>
      <c r="J18" t="s">
        <v>42</v>
      </c>
      <c r="K18">
        <v>1</v>
      </c>
    </row>
    <row r="19" spans="1:13" x14ac:dyDescent="0.2">
      <c r="A19" s="3" t="s">
        <v>14</v>
      </c>
      <c r="B19" s="3" t="s">
        <v>11</v>
      </c>
      <c r="C19" s="8" t="s">
        <v>349</v>
      </c>
      <c r="D19" s="8">
        <v>7782</v>
      </c>
      <c r="E19" t="s">
        <v>10</v>
      </c>
      <c r="F19" s="3" t="s">
        <v>15</v>
      </c>
      <c r="G19" t="s">
        <v>16</v>
      </c>
      <c r="H19" s="3" t="s">
        <v>9</v>
      </c>
      <c r="I19">
        <v>2190844947</v>
      </c>
      <c r="J19" t="s">
        <v>13</v>
      </c>
      <c r="K19">
        <v>1</v>
      </c>
    </row>
    <row r="20" spans="1:13" x14ac:dyDescent="0.2">
      <c r="A20" s="2" t="s">
        <v>14</v>
      </c>
      <c r="B20" s="3" t="s">
        <v>11</v>
      </c>
      <c r="C20" s="8" t="s">
        <v>349</v>
      </c>
      <c r="D20" s="8">
        <v>7782</v>
      </c>
      <c r="E20" t="s">
        <v>10</v>
      </c>
      <c r="F20" s="3" t="s">
        <v>15</v>
      </c>
      <c r="G20" t="s">
        <v>16</v>
      </c>
      <c r="H20" s="3" t="s">
        <v>17</v>
      </c>
      <c r="I20">
        <v>2190844947</v>
      </c>
      <c r="J20" t="s">
        <v>13</v>
      </c>
      <c r="K20">
        <v>1</v>
      </c>
    </row>
    <row r="21" spans="1:13" x14ac:dyDescent="0.2">
      <c r="A21" s="3" t="s">
        <v>35</v>
      </c>
      <c r="B21" s="3" t="s">
        <v>28</v>
      </c>
      <c r="C21" s="6" t="s">
        <v>328</v>
      </c>
      <c r="D21" s="6">
        <v>7830</v>
      </c>
      <c r="E21" t="s">
        <v>34</v>
      </c>
      <c r="F21" s="3" t="s">
        <v>31</v>
      </c>
      <c r="G21" t="s">
        <v>32</v>
      </c>
      <c r="H21" s="3" t="s">
        <v>33</v>
      </c>
      <c r="I21">
        <v>4220389930</v>
      </c>
      <c r="J21" t="s">
        <v>29</v>
      </c>
      <c r="K21">
        <v>1</v>
      </c>
    </row>
    <row r="22" spans="1:13" x14ac:dyDescent="0.2">
      <c r="A22" s="3" t="s">
        <v>35</v>
      </c>
      <c r="B22" s="3" t="s">
        <v>28</v>
      </c>
      <c r="C22" s="6" t="s">
        <v>328</v>
      </c>
      <c r="D22" s="6">
        <v>7830</v>
      </c>
      <c r="E22" t="s">
        <v>34</v>
      </c>
      <c r="F22" s="3" t="s">
        <v>31</v>
      </c>
      <c r="G22" t="s">
        <v>32</v>
      </c>
      <c r="H22" s="3" t="s">
        <v>36</v>
      </c>
      <c r="I22">
        <v>4220389930</v>
      </c>
      <c r="J22" t="s">
        <v>29</v>
      </c>
      <c r="K22">
        <v>1</v>
      </c>
    </row>
    <row r="23" spans="1:13" x14ac:dyDescent="0.2">
      <c r="A23" s="2" t="s">
        <v>35</v>
      </c>
      <c r="B23" s="3" t="s">
        <v>28</v>
      </c>
      <c r="C23" s="6" t="s">
        <v>328</v>
      </c>
      <c r="D23" s="6">
        <v>7830</v>
      </c>
      <c r="E23" t="s">
        <v>260</v>
      </c>
      <c r="F23" s="3" t="s">
        <v>261</v>
      </c>
      <c r="G23" t="s">
        <v>32</v>
      </c>
      <c r="H23" s="3" t="s">
        <v>259</v>
      </c>
      <c r="I23">
        <v>3867000599</v>
      </c>
      <c r="J23" t="s">
        <v>29</v>
      </c>
      <c r="M23">
        <v>1</v>
      </c>
    </row>
    <row r="24" spans="1:13" x14ac:dyDescent="0.2">
      <c r="A24" s="2" t="s">
        <v>96</v>
      </c>
      <c r="B24" s="3" t="s">
        <v>95</v>
      </c>
      <c r="C24" s="8" t="s">
        <v>344</v>
      </c>
      <c r="D24" s="8">
        <v>7815</v>
      </c>
      <c r="E24" t="s">
        <v>94</v>
      </c>
      <c r="F24" s="3" t="s">
        <v>97</v>
      </c>
      <c r="G24" t="s">
        <v>98</v>
      </c>
      <c r="H24" s="3" t="s">
        <v>93</v>
      </c>
      <c r="I24">
        <v>3227473548</v>
      </c>
      <c r="J24" t="s">
        <v>42</v>
      </c>
      <c r="K24">
        <v>1</v>
      </c>
    </row>
    <row r="25" spans="1:13" x14ac:dyDescent="0.2">
      <c r="A25" s="3" t="s">
        <v>270</v>
      </c>
      <c r="B25" s="3" t="s">
        <v>46</v>
      </c>
      <c r="C25" s="8" t="s">
        <v>353</v>
      </c>
      <c r="D25" s="8">
        <v>36176</v>
      </c>
      <c r="E25" t="s">
        <v>277</v>
      </c>
      <c r="F25" s="3" t="s">
        <v>279</v>
      </c>
      <c r="G25" t="s">
        <v>280</v>
      </c>
      <c r="H25" s="3" t="s">
        <v>276</v>
      </c>
      <c r="I25">
        <v>4611596649</v>
      </c>
      <c r="J25" t="s">
        <v>278</v>
      </c>
      <c r="L25">
        <v>1</v>
      </c>
    </row>
    <row r="26" spans="1:13" x14ac:dyDescent="0.2">
      <c r="A26" s="3" t="s">
        <v>270</v>
      </c>
      <c r="B26" s="3" t="s">
        <v>46</v>
      </c>
      <c r="C26" s="8" t="s">
        <v>353</v>
      </c>
      <c r="D26" s="8">
        <v>36176</v>
      </c>
      <c r="E26" t="s">
        <v>282</v>
      </c>
      <c r="F26" s="3" t="s">
        <v>283</v>
      </c>
      <c r="G26" t="s">
        <v>280</v>
      </c>
      <c r="H26" s="3" t="s">
        <v>281</v>
      </c>
      <c r="I26">
        <v>4927333674</v>
      </c>
      <c r="J26" t="s">
        <v>278</v>
      </c>
      <c r="L26">
        <v>1</v>
      </c>
    </row>
    <row r="27" spans="1:13" x14ac:dyDescent="0.2">
      <c r="A27" s="3" t="s">
        <v>270</v>
      </c>
      <c r="B27" s="3" t="s">
        <v>46</v>
      </c>
      <c r="C27" s="8" t="s">
        <v>353</v>
      </c>
      <c r="D27" s="8">
        <v>36176</v>
      </c>
      <c r="E27" t="s">
        <v>269</v>
      </c>
      <c r="F27" s="3" t="s">
        <v>271</v>
      </c>
      <c r="G27" t="s">
        <v>272</v>
      </c>
      <c r="H27" s="3" t="s">
        <v>268</v>
      </c>
      <c r="I27">
        <v>4757323865</v>
      </c>
      <c r="J27" t="s">
        <v>50</v>
      </c>
      <c r="M27">
        <v>1</v>
      </c>
    </row>
    <row r="28" spans="1:13" x14ac:dyDescent="0.2">
      <c r="A28" s="2" t="s">
        <v>270</v>
      </c>
      <c r="B28" s="3" t="s">
        <v>46</v>
      </c>
      <c r="C28" s="8" t="s">
        <v>353</v>
      </c>
      <c r="D28" s="8">
        <v>36176</v>
      </c>
      <c r="E28" t="s">
        <v>274</v>
      </c>
      <c r="F28" s="3" t="s">
        <v>275</v>
      </c>
      <c r="G28" t="s">
        <v>272</v>
      </c>
      <c r="H28" s="3" t="s">
        <v>273</v>
      </c>
      <c r="I28">
        <v>5072765766</v>
      </c>
      <c r="J28" t="s">
        <v>50</v>
      </c>
      <c r="M28">
        <v>1</v>
      </c>
    </row>
    <row r="29" spans="1:13" x14ac:dyDescent="0.2">
      <c r="A29" s="3" t="s">
        <v>38</v>
      </c>
      <c r="B29" s="3" t="s">
        <v>113</v>
      </c>
      <c r="C29" s="8" t="s">
        <v>352</v>
      </c>
      <c r="D29" s="8">
        <v>137246</v>
      </c>
      <c r="E29" t="s">
        <v>112</v>
      </c>
      <c r="F29" s="3" t="s">
        <v>64</v>
      </c>
      <c r="G29" t="s">
        <v>114</v>
      </c>
      <c r="H29" s="3" t="s">
        <v>111</v>
      </c>
      <c r="I29">
        <v>5274411202</v>
      </c>
      <c r="J29" t="s">
        <v>50</v>
      </c>
      <c r="K29">
        <v>1</v>
      </c>
    </row>
    <row r="30" spans="1:13" x14ac:dyDescent="0.2">
      <c r="A30" s="3" t="s">
        <v>38</v>
      </c>
      <c r="B30" s="3" t="s">
        <v>113</v>
      </c>
      <c r="C30" s="8" t="s">
        <v>352</v>
      </c>
      <c r="D30" s="8">
        <v>137246</v>
      </c>
      <c r="E30" t="s">
        <v>112</v>
      </c>
      <c r="F30" s="3" t="s">
        <v>64</v>
      </c>
      <c r="G30" t="s">
        <v>114</v>
      </c>
      <c r="H30" s="3" t="s">
        <v>115</v>
      </c>
      <c r="I30">
        <v>5274411202</v>
      </c>
      <c r="J30" t="s">
        <v>50</v>
      </c>
      <c r="K30">
        <v>1</v>
      </c>
    </row>
    <row r="31" spans="1:13" x14ac:dyDescent="0.2">
      <c r="A31" s="3" t="s">
        <v>38</v>
      </c>
      <c r="B31" s="3" t="s">
        <v>49</v>
      </c>
      <c r="C31" s="8" t="s">
        <v>351</v>
      </c>
      <c r="D31" s="8">
        <v>2704970</v>
      </c>
      <c r="E31" t="s">
        <v>48</v>
      </c>
      <c r="F31" s="3" t="s">
        <v>51</v>
      </c>
      <c r="G31" t="s">
        <v>52</v>
      </c>
      <c r="H31" s="3" t="s">
        <v>47</v>
      </c>
      <c r="I31">
        <v>4229631903</v>
      </c>
      <c r="J31" t="s">
        <v>50</v>
      </c>
      <c r="K31">
        <v>1</v>
      </c>
    </row>
    <row r="32" spans="1:13" x14ac:dyDescent="0.2">
      <c r="A32" s="3" t="s">
        <v>38</v>
      </c>
      <c r="B32" s="3" t="s">
        <v>49</v>
      </c>
      <c r="C32" s="8" t="s">
        <v>351</v>
      </c>
      <c r="D32" s="8">
        <v>2704970</v>
      </c>
      <c r="E32" t="s">
        <v>48</v>
      </c>
      <c r="F32" s="3" t="s">
        <v>51</v>
      </c>
      <c r="G32" t="s">
        <v>52</v>
      </c>
      <c r="H32" s="3" t="s">
        <v>53</v>
      </c>
      <c r="I32">
        <v>4229631903</v>
      </c>
      <c r="J32" t="s">
        <v>50</v>
      </c>
      <c r="K32">
        <v>1</v>
      </c>
    </row>
    <row r="33" spans="1:13" x14ac:dyDescent="0.2">
      <c r="A33" s="3" t="s">
        <v>38</v>
      </c>
      <c r="B33" s="3" t="s">
        <v>63</v>
      </c>
      <c r="C33" s="8" t="s">
        <v>342</v>
      </c>
      <c r="D33" s="8">
        <v>75743</v>
      </c>
      <c r="E33" t="s">
        <v>62</v>
      </c>
      <c r="F33" s="3" t="s">
        <v>64</v>
      </c>
      <c r="G33" t="s">
        <v>65</v>
      </c>
      <c r="H33" s="3" t="s">
        <v>61</v>
      </c>
      <c r="I33">
        <v>6451259511</v>
      </c>
      <c r="J33" t="s">
        <v>50</v>
      </c>
      <c r="K33">
        <v>1</v>
      </c>
    </row>
    <row r="34" spans="1:13" x14ac:dyDescent="0.2">
      <c r="A34" s="2" t="s">
        <v>38</v>
      </c>
      <c r="B34" s="3" t="s">
        <v>63</v>
      </c>
      <c r="C34" s="8" t="s">
        <v>342</v>
      </c>
      <c r="D34" s="8">
        <v>75743</v>
      </c>
      <c r="E34" t="s">
        <v>62</v>
      </c>
      <c r="F34" s="3" t="s">
        <v>64</v>
      </c>
      <c r="G34" t="s">
        <v>65</v>
      </c>
      <c r="H34" s="3" t="s">
        <v>66</v>
      </c>
      <c r="I34">
        <v>6451259511</v>
      </c>
      <c r="J34" t="s">
        <v>50</v>
      </c>
      <c r="K34">
        <v>1</v>
      </c>
    </row>
    <row r="35" spans="1:13" x14ac:dyDescent="0.2">
      <c r="A35" s="3" t="s">
        <v>253</v>
      </c>
      <c r="B35" s="3" t="s">
        <v>20</v>
      </c>
      <c r="C35" s="6" t="s">
        <v>326</v>
      </c>
      <c r="D35" s="6">
        <v>13397</v>
      </c>
      <c r="E35" t="s">
        <v>257</v>
      </c>
      <c r="F35" s="3" t="s">
        <v>258</v>
      </c>
      <c r="G35" t="s">
        <v>255</v>
      </c>
      <c r="H35" s="3" t="s">
        <v>256</v>
      </c>
      <c r="I35">
        <v>5376851817</v>
      </c>
      <c r="J35" t="s">
        <v>252</v>
      </c>
      <c r="M35">
        <v>1</v>
      </c>
    </row>
    <row r="36" spans="1:13" x14ac:dyDescent="0.2">
      <c r="A36" s="2" t="s">
        <v>253</v>
      </c>
      <c r="B36" s="3" t="s">
        <v>20</v>
      </c>
      <c r="C36" s="6" t="s">
        <v>326</v>
      </c>
      <c r="D36" s="6">
        <v>13397</v>
      </c>
      <c r="E36" t="s">
        <v>251</v>
      </c>
      <c r="F36" s="3" t="s">
        <v>254</v>
      </c>
      <c r="G36" t="s">
        <v>255</v>
      </c>
      <c r="H36" s="3" t="s">
        <v>250</v>
      </c>
      <c r="I36">
        <v>4882599846</v>
      </c>
      <c r="J36" t="s">
        <v>252</v>
      </c>
      <c r="M36">
        <v>1</v>
      </c>
    </row>
    <row r="37" spans="1:13" x14ac:dyDescent="0.2">
      <c r="A37" s="3" t="s">
        <v>22</v>
      </c>
      <c r="B37" s="3" t="s">
        <v>165</v>
      </c>
      <c r="C37" s="6" t="s">
        <v>334</v>
      </c>
      <c r="D37" s="6">
        <v>386614</v>
      </c>
      <c r="E37" t="s">
        <v>164</v>
      </c>
      <c r="F37" s="3" t="s">
        <v>167</v>
      </c>
      <c r="G37" t="s">
        <v>168</v>
      </c>
      <c r="H37" s="3" t="s">
        <v>163</v>
      </c>
      <c r="I37">
        <v>2558784953</v>
      </c>
      <c r="J37" t="s">
        <v>166</v>
      </c>
      <c r="K37">
        <v>1</v>
      </c>
    </row>
    <row r="38" spans="1:13" x14ac:dyDescent="0.2">
      <c r="A38" s="3" t="s">
        <v>22</v>
      </c>
      <c r="B38" s="3" t="s">
        <v>165</v>
      </c>
      <c r="C38" s="6" t="s">
        <v>334</v>
      </c>
      <c r="D38" s="6">
        <v>386614</v>
      </c>
      <c r="E38" t="s">
        <v>164</v>
      </c>
      <c r="F38" s="3" t="s">
        <v>167</v>
      </c>
      <c r="G38" t="s">
        <v>168</v>
      </c>
      <c r="H38" s="3" t="s">
        <v>169</v>
      </c>
      <c r="I38">
        <v>2558784953</v>
      </c>
      <c r="J38" t="s">
        <v>166</v>
      </c>
      <c r="K38">
        <v>1</v>
      </c>
    </row>
    <row r="39" spans="1:13" x14ac:dyDescent="0.2">
      <c r="A39" s="3" t="s">
        <v>22</v>
      </c>
      <c r="B39" s="3" t="s">
        <v>165</v>
      </c>
      <c r="C39" s="6" t="s">
        <v>334</v>
      </c>
      <c r="D39" s="6">
        <v>386614</v>
      </c>
      <c r="E39" t="s">
        <v>311</v>
      </c>
      <c r="F39" s="3" t="s">
        <v>312</v>
      </c>
      <c r="G39" t="s">
        <v>168</v>
      </c>
      <c r="H39" s="3" t="s">
        <v>310</v>
      </c>
      <c r="I39">
        <v>1462441988</v>
      </c>
      <c r="J39" t="s">
        <v>166</v>
      </c>
      <c r="M39">
        <v>1</v>
      </c>
    </row>
    <row r="40" spans="1:13" x14ac:dyDescent="0.2">
      <c r="A40" s="3" t="s">
        <v>22</v>
      </c>
      <c r="B40" s="3" t="s">
        <v>20</v>
      </c>
      <c r="C40" s="6" t="s">
        <v>326</v>
      </c>
      <c r="D40" s="6">
        <v>13397</v>
      </c>
      <c r="E40" t="s">
        <v>317</v>
      </c>
      <c r="F40" s="3" t="s">
        <v>318</v>
      </c>
      <c r="G40" t="s">
        <v>24</v>
      </c>
      <c r="H40" s="3" t="s">
        <v>316</v>
      </c>
      <c r="I40">
        <v>6205005</v>
      </c>
      <c r="J40" t="s">
        <v>21</v>
      </c>
      <c r="M40">
        <v>1</v>
      </c>
    </row>
    <row r="41" spans="1:13" x14ac:dyDescent="0.2">
      <c r="A41" s="3" t="s">
        <v>22</v>
      </c>
      <c r="B41" s="3" t="s">
        <v>20</v>
      </c>
      <c r="C41" s="6" t="s">
        <v>326</v>
      </c>
      <c r="D41" s="6">
        <v>13397</v>
      </c>
      <c r="E41" t="s">
        <v>19</v>
      </c>
      <c r="F41" s="3" t="s">
        <v>23</v>
      </c>
      <c r="G41" t="s">
        <v>24</v>
      </c>
      <c r="H41" s="3" t="s">
        <v>18</v>
      </c>
      <c r="I41">
        <v>4286294447</v>
      </c>
      <c r="J41" t="s">
        <v>21</v>
      </c>
      <c r="K41">
        <v>1</v>
      </c>
    </row>
    <row r="42" spans="1:13" x14ac:dyDescent="0.2">
      <c r="A42" s="3" t="s">
        <v>22</v>
      </c>
      <c r="B42" s="3" t="s">
        <v>20</v>
      </c>
      <c r="C42" s="6" t="s">
        <v>326</v>
      </c>
      <c r="D42" s="6">
        <v>13397</v>
      </c>
      <c r="E42" t="s">
        <v>19</v>
      </c>
      <c r="F42" s="3" t="s">
        <v>23</v>
      </c>
      <c r="G42" t="s">
        <v>24</v>
      </c>
      <c r="H42" s="3" t="s">
        <v>25</v>
      </c>
      <c r="I42">
        <v>4286294447</v>
      </c>
      <c r="J42" t="s">
        <v>21</v>
      </c>
      <c r="K42">
        <v>1</v>
      </c>
    </row>
    <row r="43" spans="1:13" x14ac:dyDescent="0.2">
      <c r="A43" s="3" t="s">
        <v>22</v>
      </c>
      <c r="B43" s="3" t="s">
        <v>56</v>
      </c>
      <c r="C43" s="6" t="s">
        <v>324</v>
      </c>
      <c r="D43" s="6">
        <v>170820</v>
      </c>
      <c r="E43" t="s">
        <v>285</v>
      </c>
      <c r="F43" s="3" t="s">
        <v>286</v>
      </c>
      <c r="G43" t="s">
        <v>59</v>
      </c>
      <c r="H43" s="3" t="s">
        <v>284</v>
      </c>
      <c r="I43">
        <v>4149461884</v>
      </c>
      <c r="J43" t="s">
        <v>57</v>
      </c>
      <c r="M43">
        <v>1</v>
      </c>
    </row>
    <row r="44" spans="1:13" x14ac:dyDescent="0.2">
      <c r="A44" s="3" t="s">
        <v>22</v>
      </c>
      <c r="B44" s="3" t="s">
        <v>56</v>
      </c>
      <c r="C44" s="6" t="s">
        <v>324</v>
      </c>
      <c r="D44" s="6">
        <v>170820</v>
      </c>
      <c r="E44" t="s">
        <v>55</v>
      </c>
      <c r="F44" s="3" t="s">
        <v>58</v>
      </c>
      <c r="G44" t="s">
        <v>59</v>
      </c>
      <c r="H44" s="3" t="s">
        <v>54</v>
      </c>
      <c r="I44">
        <v>3983466396</v>
      </c>
      <c r="J44" t="s">
        <v>57</v>
      </c>
      <c r="K44">
        <v>1</v>
      </c>
    </row>
    <row r="45" spans="1:13" x14ac:dyDescent="0.2">
      <c r="A45" s="3" t="s">
        <v>22</v>
      </c>
      <c r="B45" s="3" t="s">
        <v>56</v>
      </c>
      <c r="C45" s="6" t="s">
        <v>324</v>
      </c>
      <c r="D45" s="6">
        <v>170820</v>
      </c>
      <c r="E45" t="s">
        <v>55</v>
      </c>
      <c r="F45" s="3" t="s">
        <v>58</v>
      </c>
      <c r="G45" t="s">
        <v>59</v>
      </c>
      <c r="H45" s="3" t="s">
        <v>60</v>
      </c>
      <c r="I45">
        <v>3983466396</v>
      </c>
      <c r="J45" t="s">
        <v>57</v>
      </c>
      <c r="K45">
        <v>1</v>
      </c>
    </row>
    <row r="46" spans="1:13" x14ac:dyDescent="0.2">
      <c r="A46" s="3" t="s">
        <v>22</v>
      </c>
      <c r="B46" s="3" t="s">
        <v>124</v>
      </c>
      <c r="C46" s="6" t="s">
        <v>330</v>
      </c>
      <c r="D46" s="6">
        <v>212740</v>
      </c>
      <c r="E46" t="s">
        <v>123</v>
      </c>
      <c r="F46" s="3" t="s">
        <v>125</v>
      </c>
      <c r="G46" t="s">
        <v>126</v>
      </c>
      <c r="H46" s="3" t="s">
        <v>122</v>
      </c>
      <c r="I46">
        <v>3249915908</v>
      </c>
      <c r="J46" t="s">
        <v>89</v>
      </c>
      <c r="K46">
        <v>1</v>
      </c>
    </row>
    <row r="47" spans="1:13" x14ac:dyDescent="0.2">
      <c r="A47" s="3" t="s">
        <v>22</v>
      </c>
      <c r="B47" s="3" t="s">
        <v>124</v>
      </c>
      <c r="C47" s="6" t="s">
        <v>330</v>
      </c>
      <c r="D47" s="6">
        <v>212740</v>
      </c>
      <c r="E47" t="s">
        <v>123</v>
      </c>
      <c r="F47" s="3" t="s">
        <v>125</v>
      </c>
      <c r="G47" t="s">
        <v>126</v>
      </c>
      <c r="H47" s="3" t="s">
        <v>127</v>
      </c>
      <c r="I47">
        <v>3249915908</v>
      </c>
      <c r="J47" t="s">
        <v>89</v>
      </c>
      <c r="K47">
        <v>1</v>
      </c>
    </row>
    <row r="48" spans="1:13" x14ac:dyDescent="0.2">
      <c r="A48" s="3" t="s">
        <v>22</v>
      </c>
      <c r="B48" s="3" t="s">
        <v>124</v>
      </c>
      <c r="C48" s="6" t="s">
        <v>330</v>
      </c>
      <c r="D48" s="6">
        <v>212740</v>
      </c>
      <c r="E48" t="s">
        <v>227</v>
      </c>
      <c r="F48" s="3" t="s">
        <v>228</v>
      </c>
      <c r="G48" t="s">
        <v>126</v>
      </c>
      <c r="H48" s="3" t="s">
        <v>226</v>
      </c>
      <c r="I48">
        <v>3087787698</v>
      </c>
      <c r="J48" t="s">
        <v>89</v>
      </c>
      <c r="K48">
        <v>1</v>
      </c>
    </row>
    <row r="49" spans="1:11" x14ac:dyDescent="0.2">
      <c r="A49" s="3" t="s">
        <v>22</v>
      </c>
      <c r="B49" s="3" t="s">
        <v>136</v>
      </c>
      <c r="C49" s="6" t="s">
        <v>323</v>
      </c>
      <c r="D49" s="6">
        <v>7792</v>
      </c>
      <c r="E49" t="s">
        <v>135</v>
      </c>
      <c r="F49" s="3" t="s">
        <v>137</v>
      </c>
      <c r="G49" t="s">
        <v>138</v>
      </c>
      <c r="H49" s="3" t="s">
        <v>134</v>
      </c>
      <c r="I49">
        <v>6013048672</v>
      </c>
      <c r="J49" t="s">
        <v>50</v>
      </c>
      <c r="K49">
        <v>1</v>
      </c>
    </row>
    <row r="50" spans="1:11" x14ac:dyDescent="0.2">
      <c r="A50" s="3" t="s">
        <v>22</v>
      </c>
      <c r="B50" s="3" t="s">
        <v>136</v>
      </c>
      <c r="C50" s="6" t="s">
        <v>323</v>
      </c>
      <c r="D50" s="6">
        <v>7792</v>
      </c>
      <c r="E50" t="s">
        <v>135</v>
      </c>
      <c r="F50" s="3" t="s">
        <v>137</v>
      </c>
      <c r="G50" t="s">
        <v>138</v>
      </c>
      <c r="H50" s="3" t="s">
        <v>139</v>
      </c>
      <c r="I50">
        <v>6013048672</v>
      </c>
      <c r="J50" t="s">
        <v>50</v>
      </c>
      <c r="K50">
        <v>1</v>
      </c>
    </row>
    <row r="51" spans="1:11" x14ac:dyDescent="0.2">
      <c r="A51" s="3" t="s">
        <v>22</v>
      </c>
      <c r="B51" s="3" t="s">
        <v>136</v>
      </c>
      <c r="C51" s="6" t="s">
        <v>323</v>
      </c>
      <c r="D51" s="6">
        <v>7792</v>
      </c>
      <c r="E51" t="s">
        <v>236</v>
      </c>
      <c r="F51" s="3" t="s">
        <v>237</v>
      </c>
      <c r="G51" t="s">
        <v>138</v>
      </c>
      <c r="H51" s="3" t="s">
        <v>235</v>
      </c>
      <c r="I51">
        <v>5196885747</v>
      </c>
      <c r="J51" t="s">
        <v>50</v>
      </c>
      <c r="K51">
        <v>1</v>
      </c>
    </row>
    <row r="52" spans="1:11" x14ac:dyDescent="0.2">
      <c r="A52" s="3" t="s">
        <v>22</v>
      </c>
      <c r="B52" s="3" t="s">
        <v>101</v>
      </c>
      <c r="C52" s="6" t="s">
        <v>322</v>
      </c>
      <c r="D52" s="6">
        <v>7873</v>
      </c>
      <c r="E52" t="s">
        <v>224</v>
      </c>
      <c r="F52" s="3" t="s">
        <v>225</v>
      </c>
      <c r="G52" t="s">
        <v>103</v>
      </c>
      <c r="H52" s="3" t="s">
        <v>223</v>
      </c>
      <c r="I52">
        <v>1097847766</v>
      </c>
      <c r="J52" t="s">
        <v>89</v>
      </c>
      <c r="K52">
        <v>1</v>
      </c>
    </row>
    <row r="53" spans="1:11" x14ac:dyDescent="0.2">
      <c r="A53" s="3" t="s">
        <v>22</v>
      </c>
      <c r="B53" s="3" t="s">
        <v>101</v>
      </c>
      <c r="C53" s="6" t="s">
        <v>322</v>
      </c>
      <c r="D53" s="6">
        <v>7873</v>
      </c>
      <c r="E53" t="s">
        <v>100</v>
      </c>
      <c r="F53" s="3" t="s">
        <v>102</v>
      </c>
      <c r="G53" t="s">
        <v>103</v>
      </c>
      <c r="H53" s="3" t="s">
        <v>99</v>
      </c>
      <c r="I53">
        <v>1003172678</v>
      </c>
      <c r="J53" t="s">
        <v>89</v>
      </c>
      <c r="K53">
        <v>1</v>
      </c>
    </row>
    <row r="54" spans="1:11" x14ac:dyDescent="0.2">
      <c r="A54" s="3" t="s">
        <v>22</v>
      </c>
      <c r="B54" s="3" t="s">
        <v>130</v>
      </c>
      <c r="C54" s="6" t="s">
        <v>337</v>
      </c>
      <c r="D54" s="6">
        <v>79690</v>
      </c>
      <c r="E54" t="s">
        <v>129</v>
      </c>
      <c r="F54" s="3" t="s">
        <v>131</v>
      </c>
      <c r="G54" t="s">
        <v>132</v>
      </c>
      <c r="H54" s="3" t="s">
        <v>128</v>
      </c>
      <c r="I54">
        <v>4044869043</v>
      </c>
      <c r="J54" t="s">
        <v>89</v>
      </c>
      <c r="K54">
        <v>1</v>
      </c>
    </row>
    <row r="55" spans="1:11" x14ac:dyDescent="0.2">
      <c r="A55" s="3" t="s">
        <v>22</v>
      </c>
      <c r="B55" s="3" t="s">
        <v>130</v>
      </c>
      <c r="C55" s="6" t="s">
        <v>337</v>
      </c>
      <c r="D55" s="6">
        <v>79690</v>
      </c>
      <c r="E55" t="s">
        <v>129</v>
      </c>
      <c r="F55" s="3" t="s">
        <v>131</v>
      </c>
      <c r="G55" t="s">
        <v>132</v>
      </c>
      <c r="H55" s="3" t="s">
        <v>133</v>
      </c>
      <c r="I55">
        <v>4044869043</v>
      </c>
      <c r="J55" t="s">
        <v>89</v>
      </c>
      <c r="K55">
        <v>1</v>
      </c>
    </row>
    <row r="56" spans="1:11" x14ac:dyDescent="0.2">
      <c r="A56" s="3" t="s">
        <v>22</v>
      </c>
      <c r="B56" s="3" t="s">
        <v>130</v>
      </c>
      <c r="C56" s="6" t="s">
        <v>337</v>
      </c>
      <c r="D56" s="6">
        <v>79690</v>
      </c>
      <c r="E56" t="s">
        <v>233</v>
      </c>
      <c r="F56" s="3" t="s">
        <v>234</v>
      </c>
      <c r="G56" t="s">
        <v>132</v>
      </c>
      <c r="H56" s="3" t="s">
        <v>232</v>
      </c>
      <c r="I56">
        <v>3635158545</v>
      </c>
      <c r="J56" t="s">
        <v>89</v>
      </c>
      <c r="K56">
        <v>1</v>
      </c>
    </row>
    <row r="57" spans="1:11" x14ac:dyDescent="0.2">
      <c r="A57" s="3" t="s">
        <v>22</v>
      </c>
      <c r="B57" s="3" t="s">
        <v>88</v>
      </c>
      <c r="C57" s="6" t="s">
        <v>338</v>
      </c>
      <c r="D57" s="6">
        <v>1983395</v>
      </c>
      <c r="E57" t="s">
        <v>87</v>
      </c>
      <c r="F57" s="3" t="s">
        <v>90</v>
      </c>
      <c r="G57" t="s">
        <v>91</v>
      </c>
      <c r="H57" s="3" t="s">
        <v>86</v>
      </c>
      <c r="I57">
        <v>4014635230</v>
      </c>
      <c r="J57" t="s">
        <v>89</v>
      </c>
      <c r="K57">
        <v>1</v>
      </c>
    </row>
    <row r="58" spans="1:11" x14ac:dyDescent="0.2">
      <c r="A58" s="3" t="s">
        <v>22</v>
      </c>
      <c r="B58" s="3" t="s">
        <v>88</v>
      </c>
      <c r="C58" s="6" t="s">
        <v>338</v>
      </c>
      <c r="D58" s="6">
        <v>1983395</v>
      </c>
      <c r="E58" t="s">
        <v>87</v>
      </c>
      <c r="F58" s="3" t="s">
        <v>90</v>
      </c>
      <c r="G58" t="s">
        <v>91</v>
      </c>
      <c r="H58" s="3" t="s">
        <v>92</v>
      </c>
      <c r="I58">
        <v>4014635230</v>
      </c>
      <c r="J58" t="s">
        <v>89</v>
      </c>
      <c r="K58">
        <v>1</v>
      </c>
    </row>
    <row r="59" spans="1:11" x14ac:dyDescent="0.2">
      <c r="A59" s="3" t="s">
        <v>22</v>
      </c>
      <c r="B59" s="3" t="s">
        <v>88</v>
      </c>
      <c r="C59" s="6" t="s">
        <v>338</v>
      </c>
      <c r="D59" s="6">
        <v>1983395</v>
      </c>
      <c r="E59" t="s">
        <v>221</v>
      </c>
      <c r="F59" s="3" t="s">
        <v>222</v>
      </c>
      <c r="G59" t="s">
        <v>91</v>
      </c>
      <c r="H59" s="3" t="s">
        <v>220</v>
      </c>
      <c r="I59">
        <v>3634101053</v>
      </c>
      <c r="J59" t="s">
        <v>89</v>
      </c>
      <c r="K59">
        <v>1</v>
      </c>
    </row>
    <row r="60" spans="1:11" x14ac:dyDescent="0.2">
      <c r="A60" s="3" t="s">
        <v>22</v>
      </c>
      <c r="B60" s="3" t="s">
        <v>118</v>
      </c>
      <c r="C60" s="6" t="s">
        <v>333</v>
      </c>
      <c r="D60" s="6">
        <v>1343680</v>
      </c>
      <c r="E60" t="s">
        <v>117</v>
      </c>
      <c r="F60" s="3" t="s">
        <v>119</v>
      </c>
      <c r="G60" t="s">
        <v>120</v>
      </c>
      <c r="H60" s="3" t="s">
        <v>116</v>
      </c>
      <c r="I60">
        <v>3328432768</v>
      </c>
      <c r="J60" t="s">
        <v>89</v>
      </c>
      <c r="K60">
        <v>1</v>
      </c>
    </row>
    <row r="61" spans="1:11" x14ac:dyDescent="0.2">
      <c r="A61" s="3" t="s">
        <v>22</v>
      </c>
      <c r="B61" s="3" t="s">
        <v>118</v>
      </c>
      <c r="C61" s="6" t="s">
        <v>333</v>
      </c>
      <c r="D61" s="6">
        <v>1343680</v>
      </c>
      <c r="E61" t="s">
        <v>117</v>
      </c>
      <c r="F61" s="3" t="s">
        <v>119</v>
      </c>
      <c r="G61" t="s">
        <v>120</v>
      </c>
      <c r="H61" s="3" t="s">
        <v>121</v>
      </c>
      <c r="I61">
        <v>3328432768</v>
      </c>
      <c r="J61" t="s">
        <v>89</v>
      </c>
      <c r="K61">
        <v>1</v>
      </c>
    </row>
    <row r="62" spans="1:11" x14ac:dyDescent="0.2">
      <c r="A62" s="3" t="s">
        <v>22</v>
      </c>
      <c r="B62" s="3" t="s">
        <v>118</v>
      </c>
      <c r="C62" s="6" t="s">
        <v>333</v>
      </c>
      <c r="D62" s="6">
        <v>1343680</v>
      </c>
      <c r="E62" t="s">
        <v>230</v>
      </c>
      <c r="F62" s="3" t="s">
        <v>231</v>
      </c>
      <c r="G62" t="s">
        <v>120</v>
      </c>
      <c r="H62" s="3" t="s">
        <v>229</v>
      </c>
      <c r="I62">
        <v>3110263114</v>
      </c>
      <c r="J62" t="s">
        <v>143</v>
      </c>
      <c r="K62">
        <v>1</v>
      </c>
    </row>
    <row r="63" spans="1:11" x14ac:dyDescent="0.2">
      <c r="A63" s="3" t="s">
        <v>22</v>
      </c>
      <c r="B63" s="3" t="s">
        <v>159</v>
      </c>
      <c r="C63" s="6" t="s">
        <v>332</v>
      </c>
      <c r="D63" s="6">
        <v>55135</v>
      </c>
      <c r="E63" t="s">
        <v>158</v>
      </c>
      <c r="F63" s="3" t="s">
        <v>160</v>
      </c>
      <c r="G63" t="s">
        <v>161</v>
      </c>
      <c r="H63" s="3" t="s">
        <v>157</v>
      </c>
      <c r="I63">
        <v>5923050865</v>
      </c>
      <c r="J63" t="s">
        <v>143</v>
      </c>
      <c r="K63">
        <v>1</v>
      </c>
    </row>
    <row r="64" spans="1:11" x14ac:dyDescent="0.2">
      <c r="A64" s="3" t="s">
        <v>22</v>
      </c>
      <c r="B64" s="3" t="s">
        <v>159</v>
      </c>
      <c r="C64" s="6" t="s">
        <v>332</v>
      </c>
      <c r="D64" s="6">
        <v>55135</v>
      </c>
      <c r="E64" t="s">
        <v>158</v>
      </c>
      <c r="F64" s="3" t="s">
        <v>160</v>
      </c>
      <c r="G64" t="s">
        <v>161</v>
      </c>
      <c r="H64" s="3" t="s">
        <v>162</v>
      </c>
      <c r="I64">
        <v>5923050865</v>
      </c>
      <c r="J64" t="s">
        <v>143</v>
      </c>
      <c r="K64">
        <v>1</v>
      </c>
    </row>
    <row r="65" spans="1:13" x14ac:dyDescent="0.2">
      <c r="A65" s="3" t="s">
        <v>22</v>
      </c>
      <c r="B65" s="3" t="s">
        <v>159</v>
      </c>
      <c r="C65" s="6" t="s">
        <v>332</v>
      </c>
      <c r="D65" s="6">
        <v>55135</v>
      </c>
      <c r="E65" t="s">
        <v>242</v>
      </c>
      <c r="F65" s="3" t="s">
        <v>243</v>
      </c>
      <c r="G65" t="s">
        <v>161</v>
      </c>
      <c r="H65" s="3" t="s">
        <v>241</v>
      </c>
      <c r="I65">
        <v>6365258383</v>
      </c>
      <c r="J65" t="s">
        <v>143</v>
      </c>
      <c r="K65">
        <v>1</v>
      </c>
    </row>
    <row r="66" spans="1:13" x14ac:dyDescent="0.2">
      <c r="A66" s="3" t="s">
        <v>22</v>
      </c>
      <c r="B66" s="3" t="s">
        <v>82</v>
      </c>
      <c r="C66" s="6" t="s">
        <v>336</v>
      </c>
      <c r="D66" s="6">
        <v>685728</v>
      </c>
      <c r="E66" t="s">
        <v>81</v>
      </c>
      <c r="F66" s="3" t="s">
        <v>83</v>
      </c>
      <c r="G66" t="s">
        <v>84</v>
      </c>
      <c r="H66" s="3" t="s">
        <v>80</v>
      </c>
      <c r="I66">
        <v>2267840987</v>
      </c>
      <c r="J66" t="s">
        <v>21</v>
      </c>
      <c r="K66">
        <v>1</v>
      </c>
    </row>
    <row r="67" spans="1:13" x14ac:dyDescent="0.2">
      <c r="A67" s="3" t="s">
        <v>22</v>
      </c>
      <c r="B67" s="3" t="s">
        <v>82</v>
      </c>
      <c r="C67" s="6" t="s">
        <v>336</v>
      </c>
      <c r="D67" s="6">
        <v>685728</v>
      </c>
      <c r="E67" t="s">
        <v>81</v>
      </c>
      <c r="F67" s="3" t="s">
        <v>83</v>
      </c>
      <c r="G67" t="s">
        <v>84</v>
      </c>
      <c r="H67" s="3" t="s">
        <v>85</v>
      </c>
      <c r="I67">
        <v>2267840987</v>
      </c>
      <c r="J67" t="s">
        <v>21</v>
      </c>
      <c r="K67">
        <v>1</v>
      </c>
    </row>
    <row r="68" spans="1:13" x14ac:dyDescent="0.2">
      <c r="A68" s="3" t="s">
        <v>22</v>
      </c>
      <c r="B68" s="3" t="s">
        <v>82</v>
      </c>
      <c r="C68" s="6" t="s">
        <v>336</v>
      </c>
      <c r="D68" s="6">
        <v>685728</v>
      </c>
      <c r="E68" t="s">
        <v>291</v>
      </c>
      <c r="F68" s="3" t="s">
        <v>292</v>
      </c>
      <c r="G68" t="s">
        <v>84</v>
      </c>
      <c r="H68" s="3" t="s">
        <v>290</v>
      </c>
      <c r="I68">
        <v>1694166684</v>
      </c>
      <c r="J68" t="s">
        <v>21</v>
      </c>
      <c r="L68">
        <v>1</v>
      </c>
    </row>
    <row r="69" spans="1:13" x14ac:dyDescent="0.2">
      <c r="A69" s="3" t="s">
        <v>22</v>
      </c>
      <c r="B69" s="3" t="s">
        <v>142</v>
      </c>
      <c r="C69" s="6" t="s">
        <v>331</v>
      </c>
      <c r="D69" s="6">
        <v>7797</v>
      </c>
      <c r="E69" t="s">
        <v>239</v>
      </c>
      <c r="F69" s="3" t="s">
        <v>240</v>
      </c>
      <c r="G69" t="s">
        <v>145</v>
      </c>
      <c r="H69" s="3" t="s">
        <v>238</v>
      </c>
      <c r="I69">
        <v>5298610218</v>
      </c>
      <c r="J69" t="s">
        <v>143</v>
      </c>
      <c r="K69">
        <v>1</v>
      </c>
    </row>
    <row r="70" spans="1:13" x14ac:dyDescent="0.2">
      <c r="A70" s="3" t="s">
        <v>22</v>
      </c>
      <c r="B70" s="3" t="s">
        <v>142</v>
      </c>
      <c r="C70" s="6" t="s">
        <v>331</v>
      </c>
      <c r="D70" s="6">
        <v>7797</v>
      </c>
      <c r="E70" t="s">
        <v>141</v>
      </c>
      <c r="F70" s="3" t="s">
        <v>144</v>
      </c>
      <c r="G70" t="s">
        <v>145</v>
      </c>
      <c r="H70" s="3" t="s">
        <v>140</v>
      </c>
      <c r="I70">
        <v>4657981142</v>
      </c>
      <c r="J70" t="s">
        <v>143</v>
      </c>
      <c r="K70">
        <v>1</v>
      </c>
    </row>
    <row r="71" spans="1:13" x14ac:dyDescent="0.2">
      <c r="A71" s="3" t="s">
        <v>22</v>
      </c>
      <c r="B71" s="3" t="s">
        <v>106</v>
      </c>
      <c r="C71" s="6" t="s">
        <v>325</v>
      </c>
      <c r="D71" s="6">
        <v>3053191</v>
      </c>
      <c r="E71" t="s">
        <v>105</v>
      </c>
      <c r="F71" s="3" t="s">
        <v>108</v>
      </c>
      <c r="G71" t="s">
        <v>109</v>
      </c>
      <c r="H71" s="3" t="s">
        <v>104</v>
      </c>
      <c r="I71">
        <v>3198515386</v>
      </c>
      <c r="J71" t="s">
        <v>107</v>
      </c>
      <c r="K71">
        <v>1</v>
      </c>
    </row>
    <row r="72" spans="1:13" x14ac:dyDescent="0.2">
      <c r="A72" s="3" t="s">
        <v>22</v>
      </c>
      <c r="B72" s="3" t="s">
        <v>106</v>
      </c>
      <c r="C72" s="6" t="s">
        <v>325</v>
      </c>
      <c r="D72" s="6">
        <v>3053191</v>
      </c>
      <c r="E72" t="s">
        <v>105</v>
      </c>
      <c r="F72" s="3" t="s">
        <v>108</v>
      </c>
      <c r="G72" t="s">
        <v>109</v>
      </c>
      <c r="H72" s="3" t="s">
        <v>110</v>
      </c>
      <c r="I72">
        <v>3198515386</v>
      </c>
      <c r="J72" t="s">
        <v>107</v>
      </c>
      <c r="K72">
        <v>1</v>
      </c>
    </row>
    <row r="73" spans="1:13" x14ac:dyDescent="0.2">
      <c r="A73" s="2" t="s">
        <v>22</v>
      </c>
      <c r="B73" s="3" t="s">
        <v>106</v>
      </c>
      <c r="C73" s="6" t="s">
        <v>325</v>
      </c>
      <c r="D73" s="6">
        <v>3053191</v>
      </c>
      <c r="E73" t="s">
        <v>294</v>
      </c>
      <c r="F73" s="3" t="s">
        <v>295</v>
      </c>
      <c r="G73" t="s">
        <v>109</v>
      </c>
      <c r="H73" s="3" t="s">
        <v>293</v>
      </c>
      <c r="I73">
        <v>3603936669</v>
      </c>
      <c r="J73" t="s">
        <v>107</v>
      </c>
      <c r="M73">
        <v>1</v>
      </c>
    </row>
    <row r="74" spans="1:13" x14ac:dyDescent="0.2">
      <c r="A74" s="3" t="s">
        <v>30</v>
      </c>
      <c r="B74" s="3" t="s">
        <v>154</v>
      </c>
      <c r="C74" s="6" t="s">
        <v>327</v>
      </c>
      <c r="D74" s="6">
        <v>57982</v>
      </c>
      <c r="E74" t="s">
        <v>153</v>
      </c>
      <c r="F74" s="3" t="s">
        <v>155</v>
      </c>
      <c r="G74" t="s">
        <v>156</v>
      </c>
      <c r="H74" s="3" t="s">
        <v>152</v>
      </c>
      <c r="I74">
        <v>3993849873</v>
      </c>
      <c r="J74" t="s">
        <v>149</v>
      </c>
      <c r="K74">
        <v>1</v>
      </c>
    </row>
    <row r="75" spans="1:13" x14ac:dyDescent="0.2">
      <c r="A75" s="3" t="s">
        <v>30</v>
      </c>
      <c r="B75" s="3" t="s">
        <v>154</v>
      </c>
      <c r="C75" s="6" t="s">
        <v>327</v>
      </c>
      <c r="D75" s="6">
        <v>57982</v>
      </c>
      <c r="E75" t="s">
        <v>297</v>
      </c>
      <c r="F75" s="3" t="s">
        <v>298</v>
      </c>
      <c r="G75" t="s">
        <v>156</v>
      </c>
      <c r="H75" s="3" t="s">
        <v>296</v>
      </c>
      <c r="I75">
        <v>3817333378</v>
      </c>
      <c r="J75" t="s">
        <v>149</v>
      </c>
      <c r="M75">
        <v>1</v>
      </c>
    </row>
    <row r="76" spans="1:13" x14ac:dyDescent="0.2">
      <c r="A76" s="3" t="s">
        <v>30</v>
      </c>
      <c r="B76" s="3" t="s">
        <v>185</v>
      </c>
      <c r="C76" s="6" t="s">
        <v>329</v>
      </c>
      <c r="D76" s="6">
        <v>112232</v>
      </c>
      <c r="E76" t="s">
        <v>184</v>
      </c>
      <c r="F76" s="3" t="s">
        <v>186</v>
      </c>
      <c r="G76" t="s">
        <v>187</v>
      </c>
      <c r="H76" s="3" t="s">
        <v>183</v>
      </c>
      <c r="I76">
        <v>3679774521</v>
      </c>
      <c r="J76" t="s">
        <v>149</v>
      </c>
      <c r="K76">
        <v>1</v>
      </c>
    </row>
    <row r="77" spans="1:13" x14ac:dyDescent="0.2">
      <c r="A77" s="3" t="s">
        <v>30</v>
      </c>
      <c r="B77" s="3" t="s">
        <v>185</v>
      </c>
      <c r="C77" s="6" t="s">
        <v>329</v>
      </c>
      <c r="D77" s="6">
        <v>112232</v>
      </c>
      <c r="E77" t="s">
        <v>314</v>
      </c>
      <c r="F77" s="3" t="s">
        <v>315</v>
      </c>
      <c r="G77" t="s">
        <v>187</v>
      </c>
      <c r="H77" s="3" t="s">
        <v>313</v>
      </c>
      <c r="I77">
        <v>3476679425</v>
      </c>
      <c r="J77" t="s">
        <v>149</v>
      </c>
      <c r="M77">
        <v>1</v>
      </c>
    </row>
    <row r="78" spans="1:13" x14ac:dyDescent="0.2">
      <c r="A78" s="3" t="s">
        <v>30</v>
      </c>
      <c r="B78" s="3" t="s">
        <v>148</v>
      </c>
      <c r="C78" s="6" t="s">
        <v>335</v>
      </c>
      <c r="D78" s="6">
        <v>223862</v>
      </c>
      <c r="E78" t="s">
        <v>147</v>
      </c>
      <c r="F78" s="3" t="s">
        <v>150</v>
      </c>
      <c r="G78" t="s">
        <v>151</v>
      </c>
      <c r="H78" s="3" t="s">
        <v>146</v>
      </c>
      <c r="I78">
        <v>2700450552</v>
      </c>
      <c r="J78" t="s">
        <v>149</v>
      </c>
      <c r="K78">
        <v>1</v>
      </c>
    </row>
    <row r="79" spans="1:13" x14ac:dyDescent="0.2">
      <c r="A79" s="3" t="s">
        <v>30</v>
      </c>
      <c r="B79" s="3" t="s">
        <v>148</v>
      </c>
      <c r="C79" s="6" t="s">
        <v>335</v>
      </c>
      <c r="D79" s="6">
        <v>223862</v>
      </c>
      <c r="E79" t="s">
        <v>300</v>
      </c>
      <c r="F79" s="3" t="s">
        <v>301</v>
      </c>
      <c r="G79" t="s">
        <v>151</v>
      </c>
      <c r="H79" s="3" t="s">
        <v>299</v>
      </c>
      <c r="I79">
        <v>2597179146</v>
      </c>
      <c r="J79" t="s">
        <v>149</v>
      </c>
      <c r="L79">
        <v>1</v>
      </c>
    </row>
    <row r="80" spans="1:13" x14ac:dyDescent="0.2">
      <c r="A80" s="2" t="s">
        <v>30</v>
      </c>
      <c r="B80" s="3" t="s">
        <v>28</v>
      </c>
      <c r="C80" s="6" t="s">
        <v>328</v>
      </c>
      <c r="D80" s="6">
        <v>7830</v>
      </c>
      <c r="E80" t="s">
        <v>27</v>
      </c>
      <c r="F80" s="3" t="s">
        <v>31</v>
      </c>
      <c r="G80" t="s">
        <v>32</v>
      </c>
      <c r="H80" s="3" t="s">
        <v>26</v>
      </c>
      <c r="I80">
        <v>4220389930</v>
      </c>
      <c r="J80" t="s">
        <v>29</v>
      </c>
      <c r="K80">
        <v>1</v>
      </c>
    </row>
    <row r="81" spans="1:13" x14ac:dyDescent="0.2">
      <c r="A81" s="4" t="s">
        <v>319</v>
      </c>
      <c r="B81" s="4"/>
      <c r="C81" s="7"/>
      <c r="D81" s="7"/>
      <c r="E81" s="4"/>
      <c r="F81" s="4"/>
      <c r="G81" s="4"/>
      <c r="H81" s="4"/>
      <c r="I81" s="4"/>
      <c r="J81" s="4"/>
      <c r="K81" s="4">
        <v>53</v>
      </c>
      <c r="L81" s="4">
        <v>4</v>
      </c>
      <c r="M81" s="4">
        <v>21</v>
      </c>
    </row>
  </sheetData>
  <mergeCells count="1"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9526-766D-CC4F-9B4F-BDE85475EE85}">
  <dimension ref="A1:C39"/>
  <sheetViews>
    <sheetView zoomScale="130" zoomScaleNormal="130" workbookViewId="0"/>
  </sheetViews>
  <sheetFormatPr baseColWidth="10" defaultRowHeight="16" x14ac:dyDescent="0.2"/>
  <cols>
    <col min="1" max="1" width="49.1640625" bestFit="1" customWidth="1"/>
    <col min="2" max="2" width="28.33203125" customWidth="1"/>
    <col min="3" max="3" width="26.6640625" customWidth="1"/>
  </cols>
  <sheetData>
    <row r="1" spans="1:3" s="3" customFormat="1" ht="17" x14ac:dyDescent="0.2">
      <c r="A1" s="13" t="s">
        <v>6</v>
      </c>
      <c r="B1" s="13" t="s">
        <v>2</v>
      </c>
      <c r="C1" s="14" t="s">
        <v>320</v>
      </c>
    </row>
    <row r="2" spans="1:3" x14ac:dyDescent="0.2">
      <c r="A2" s="2" t="s">
        <v>43</v>
      </c>
      <c r="B2" s="3" t="s">
        <v>41</v>
      </c>
      <c r="C2" s="8" t="str">
        <f>VLOOKUP(B2,'[1]ncbi.datasets.taxonomy'!$A$2:$H$34,8,0)</f>
        <v>ocellate spot skate</v>
      </c>
    </row>
    <row r="3" spans="1:3" x14ac:dyDescent="0.2">
      <c r="A3" s="3" t="s">
        <v>173</v>
      </c>
      <c r="B3" s="3" t="s">
        <v>205</v>
      </c>
      <c r="C3" s="8" t="str">
        <f>VLOOKUP(B3,'[1]ncbi.datasets.taxonomy'!$A$2:$H$34,8,0)</f>
        <v>winter skate</v>
      </c>
    </row>
    <row r="4" spans="1:3" x14ac:dyDescent="0.2">
      <c r="A4" s="3" t="s">
        <v>173</v>
      </c>
      <c r="B4" s="3" t="s">
        <v>172</v>
      </c>
      <c r="C4" s="8" t="str">
        <f>VLOOKUP(B4,'[1]ncbi.datasets.taxonomy'!$A$2:$H$34,8,0)</f>
        <v>smooth skate</v>
      </c>
    </row>
    <row r="5" spans="1:3" x14ac:dyDescent="0.2">
      <c r="A5" s="3" t="s">
        <v>173</v>
      </c>
      <c r="B5" s="3" t="s">
        <v>142</v>
      </c>
      <c r="C5" s="6" t="str">
        <f>VLOOKUP(B5,'[1]VGPPhase1-freeze-1.0'!$J$2:$L$717,2,0)</f>
        <v>Pacific spiny dogfish</v>
      </c>
    </row>
    <row r="6" spans="1:3" x14ac:dyDescent="0.2">
      <c r="A6" s="3" t="s">
        <v>200</v>
      </c>
      <c r="B6" s="3" t="s">
        <v>199</v>
      </c>
      <c r="C6" s="8" t="str">
        <f>VLOOKUP(B6,'[1]ncbi.datasets.taxonomy'!$A$2:$H$34,8,0)</f>
        <v>shortfin mako shark</v>
      </c>
    </row>
    <row r="7" spans="1:3" x14ac:dyDescent="0.2">
      <c r="A7" s="2" t="s">
        <v>200</v>
      </c>
      <c r="B7" s="3" t="s">
        <v>210</v>
      </c>
      <c r="C7" s="8" t="str">
        <f>VLOOKUP(B7,'[1]ncbi.datasets.taxonomy'!$A$2:$H$34,8,0)</f>
        <v>great hammerhead</v>
      </c>
    </row>
    <row r="8" spans="1:3" x14ac:dyDescent="0.2">
      <c r="A8" s="3" t="s">
        <v>247</v>
      </c>
      <c r="B8" s="3" t="s">
        <v>11</v>
      </c>
      <c r="C8" s="8" t="str">
        <f>VLOOKUP(B8,'[1]ncbi.datasets.taxonomy'!$A$2:$H$34,8,0)</f>
        <v>little skate</v>
      </c>
    </row>
    <row r="9" spans="1:3" x14ac:dyDescent="0.2">
      <c r="A9" s="2" t="s">
        <v>265</v>
      </c>
      <c r="B9" s="3" t="s">
        <v>37</v>
      </c>
      <c r="C9" s="8" t="str">
        <f>VLOOKUP(B9,'[1]ncbi.datasets.taxonomy'!$A$2:$H$34,8,0)</f>
        <v>whale shark</v>
      </c>
    </row>
    <row r="10" spans="1:3" x14ac:dyDescent="0.2">
      <c r="A10" s="2" t="s">
        <v>180</v>
      </c>
      <c r="B10" s="3" t="s">
        <v>178</v>
      </c>
      <c r="C10" s="8" t="str">
        <f>VLOOKUP(B10,'[1]ncbi.datasets.taxonomy'!$A$2:$H$34,8,0)</f>
        <v>cuckoo ray</v>
      </c>
    </row>
    <row r="11" spans="1:3" x14ac:dyDescent="0.2">
      <c r="A11" s="2" t="s">
        <v>193</v>
      </c>
      <c r="B11" s="3" t="s">
        <v>191</v>
      </c>
      <c r="C11" s="8" t="str">
        <f>VLOOKUP(B11,'[1]ncbi.datasets.taxonomy'!$A$2:$H$34,8,0)</f>
        <v>elephant shark</v>
      </c>
    </row>
    <row r="12" spans="1:3" x14ac:dyDescent="0.2">
      <c r="A12" s="2" t="s">
        <v>77</v>
      </c>
      <c r="B12" s="3" t="s">
        <v>75</v>
      </c>
      <c r="C12" s="8" t="str">
        <f>VLOOKUP(B12,'[1]ncbi.datasets.taxonomy'!$A$2:$H$34,8,0)</f>
        <v>Greenland sleeper shark</v>
      </c>
    </row>
    <row r="13" spans="1:3" x14ac:dyDescent="0.2">
      <c r="A13" s="3" t="s">
        <v>70</v>
      </c>
      <c r="B13" s="3" t="s">
        <v>69</v>
      </c>
      <c r="C13" s="8" t="str">
        <f>VLOOKUP(B13,'[1]ncbi.datasets.taxonomy'!$A$2:$H$34,8,0)</f>
        <v>spiny dogfish</v>
      </c>
    </row>
    <row r="14" spans="1:3" x14ac:dyDescent="0.2">
      <c r="A14" s="2" t="s">
        <v>217</v>
      </c>
      <c r="B14" s="3" t="s">
        <v>41</v>
      </c>
      <c r="C14" s="8" t="str">
        <f>VLOOKUP(B14,'[1]ncbi.datasets.taxonomy'!$A$2:$H$34,8,0)</f>
        <v>ocellate spot skate</v>
      </c>
    </row>
    <row r="15" spans="1:3" x14ac:dyDescent="0.2">
      <c r="A15" s="2" t="s">
        <v>14</v>
      </c>
      <c r="B15" s="3" t="s">
        <v>11</v>
      </c>
      <c r="C15" s="8" t="str">
        <f>VLOOKUP(B15,'[1]ncbi.datasets.taxonomy'!$A$2:$H$34,8,0)</f>
        <v>little skate</v>
      </c>
    </row>
    <row r="16" spans="1:3" x14ac:dyDescent="0.2">
      <c r="A16" s="2" t="s">
        <v>35</v>
      </c>
      <c r="B16" s="3" t="s">
        <v>28</v>
      </c>
      <c r="C16" s="6" t="str">
        <f>VLOOKUP(B16,'[1]VGPPhase1-freeze-1.0'!$J$2:$L$717,2,0)</f>
        <v>small-spotted catshark</v>
      </c>
    </row>
    <row r="17" spans="1:3" x14ac:dyDescent="0.2">
      <c r="A17" s="2" t="s">
        <v>96</v>
      </c>
      <c r="B17" s="3" t="s">
        <v>95</v>
      </c>
      <c r="C17" s="8" t="str">
        <f>VLOOKUP(B17,'[1]ncbi.datasets.taxonomy'!$A$2:$H$34,8,0)</f>
        <v>blue shark</v>
      </c>
    </row>
    <row r="18" spans="1:3" x14ac:dyDescent="0.2">
      <c r="A18" s="3" t="s">
        <v>270</v>
      </c>
      <c r="B18" s="3" t="s">
        <v>46</v>
      </c>
      <c r="C18" s="8" t="str">
        <f>VLOOKUP(B18,'[1]ncbi.datasets.taxonomy'!$A$2:$H$34,8,0)</f>
        <v>whitespotted bambooshark</v>
      </c>
    </row>
    <row r="19" spans="1:3" x14ac:dyDescent="0.2">
      <c r="A19" s="2" t="s">
        <v>38</v>
      </c>
      <c r="B19" s="3" t="s">
        <v>113</v>
      </c>
      <c r="C19" s="8" t="str">
        <f>VLOOKUP(B19,'[1]ncbi.datasets.taxonomy'!$A$2:$H$34,8,0)</f>
        <v>brownbanded bambooshark</v>
      </c>
    </row>
    <row r="20" spans="1:3" x14ac:dyDescent="0.2">
      <c r="A20" s="3" t="s">
        <v>38</v>
      </c>
      <c r="B20" s="3" t="s">
        <v>49</v>
      </c>
      <c r="C20" s="8" t="str">
        <f>VLOOKUP(B20,'[1]ncbi.datasets.taxonomy'!$A$2:$H$34,8,0)</f>
        <v>red stingray</v>
      </c>
    </row>
    <row r="21" spans="1:3" x14ac:dyDescent="0.2">
      <c r="A21" s="3" t="s">
        <v>38</v>
      </c>
      <c r="B21" s="3" t="s">
        <v>63</v>
      </c>
      <c r="C21" s="8" t="str">
        <f>VLOOKUP(B21,'[1]ncbi.datasets.taxonomy'!$A$2:$H$34,8,0)</f>
        <v>cloudy catshark</v>
      </c>
    </row>
    <row r="22" spans="1:3" x14ac:dyDescent="0.2">
      <c r="A22" s="2" t="s">
        <v>253</v>
      </c>
      <c r="B22" s="3" t="s">
        <v>20</v>
      </c>
      <c r="C22" s="6" t="str">
        <f>VLOOKUP(B22,'[1]VGPPhase1-freeze-1.0'!$J$2:$L$717,2,0)</f>
        <v>great white shark</v>
      </c>
    </row>
    <row r="23" spans="1:3" x14ac:dyDescent="0.2">
      <c r="A23" s="2" t="s">
        <v>22</v>
      </c>
      <c r="B23" s="3" t="s">
        <v>165</v>
      </c>
      <c r="C23" s="6" t="str">
        <f>VLOOKUP(B23,'[1]VGPPhase1-freeze-1.0'!$J$2:$L$717,2,0)</f>
        <v>thorny skate</v>
      </c>
    </row>
    <row r="24" spans="1:3" x14ac:dyDescent="0.2">
      <c r="A24" s="3" t="s">
        <v>22</v>
      </c>
      <c r="B24" s="3" t="s">
        <v>20</v>
      </c>
      <c r="C24" s="6" t="str">
        <f>VLOOKUP(B24,'[1]VGPPhase1-freeze-1.0'!$J$2:$L$717,2,0)</f>
        <v>great white shark</v>
      </c>
    </row>
    <row r="25" spans="1:3" x14ac:dyDescent="0.2">
      <c r="A25" s="3" t="s">
        <v>22</v>
      </c>
      <c r="B25" s="3" t="s">
        <v>56</v>
      </c>
      <c r="C25" s="6" t="str">
        <f>VLOOKUP(B25,'[1]VGPPhase1-freeze-1.0'!$J$2:$L$717,2,0)</f>
        <v>epaulette shark</v>
      </c>
    </row>
    <row r="26" spans="1:3" x14ac:dyDescent="0.2">
      <c r="A26" s="3" t="s">
        <v>22</v>
      </c>
      <c r="B26" s="3" t="s">
        <v>124</v>
      </c>
      <c r="C26" s="6" t="str">
        <f>VLOOKUP(B26,'[1]VGPPhase1-freeze-1.0'!$J$2:$L$717,2,0)</f>
        <v>sharpnose sevengill shark</v>
      </c>
    </row>
    <row r="27" spans="1:3" x14ac:dyDescent="0.2">
      <c r="A27" s="2" t="s">
        <v>22</v>
      </c>
      <c r="B27" s="3" t="s">
        <v>136</v>
      </c>
      <c r="C27" s="6" t="str">
        <f>VLOOKUP(B27,'[1]VGPPhase1-freeze-1.0'!$J$2:$L$717,2,0)</f>
        <v>horn shark</v>
      </c>
    </row>
    <row r="28" spans="1:3" x14ac:dyDescent="0.2">
      <c r="A28" s="3" t="s">
        <v>22</v>
      </c>
      <c r="B28" s="3" t="s">
        <v>101</v>
      </c>
      <c r="C28" s="6" t="str">
        <f>VLOOKUP(B28,'[1]VGPPhase1-freeze-1.0'!$J$2:$L$717,2,0)</f>
        <v>spotted ratfish</v>
      </c>
    </row>
    <row r="29" spans="1:3" x14ac:dyDescent="0.2">
      <c r="A29" s="3" t="s">
        <v>22</v>
      </c>
      <c r="B29" s="3" t="s">
        <v>130</v>
      </c>
      <c r="C29" s="6" t="str">
        <f>VLOOKUP(B29,'[1]VGPPhase1-freeze-1.0'!$J$2:$L$717,2,0)</f>
        <v>Atlantic stingray</v>
      </c>
    </row>
    <row r="30" spans="1:3" x14ac:dyDescent="0.2">
      <c r="A30" s="3" t="s">
        <v>22</v>
      </c>
      <c r="B30" s="3" t="s">
        <v>88</v>
      </c>
      <c r="C30" s="6" t="str">
        <f>VLOOKUP(B30,'[1]VGPPhase1-freeze-1.0'!$J$2:$L$717,2,0)</f>
        <v>Atlantic manta ray</v>
      </c>
    </row>
    <row r="31" spans="1:3" x14ac:dyDescent="0.2">
      <c r="A31" s="3" t="s">
        <v>22</v>
      </c>
      <c r="B31" s="3" t="s">
        <v>118</v>
      </c>
      <c r="C31" s="6" t="str">
        <f>VLOOKUP(B31,'[1]VGPPhase1-freeze-1.0'!$J$2:$L$717,2,0)</f>
        <v>lesser electric ray</v>
      </c>
    </row>
    <row r="32" spans="1:3" x14ac:dyDescent="0.2">
      <c r="A32" s="3" t="s">
        <v>22</v>
      </c>
      <c r="B32" s="3" t="s">
        <v>159</v>
      </c>
      <c r="C32" s="6" t="str">
        <f>VLOOKUP(B32,'[1]VGPPhase1-freeze-1.0'!$J$2:$L$717,2,0)</f>
        <v>Japanese sawshark</v>
      </c>
    </row>
    <row r="33" spans="1:3" x14ac:dyDescent="0.2">
      <c r="A33" s="2" t="s">
        <v>22</v>
      </c>
      <c r="B33" s="3" t="s">
        <v>82</v>
      </c>
      <c r="C33" s="6" t="str">
        <f>VLOOKUP(B33,'[1]VGPPhase1-freeze-1.0'!$J$2:$L$717,2,0)</f>
        <v>smalltooth sawfish</v>
      </c>
    </row>
    <row r="34" spans="1:3" x14ac:dyDescent="0.2">
      <c r="A34" s="3" t="s">
        <v>22</v>
      </c>
      <c r="B34" s="3" t="s">
        <v>142</v>
      </c>
      <c r="C34" s="6" t="str">
        <f>VLOOKUP(B34,'[1]VGPPhase1-freeze-1.0'!$J$2:$L$717,2,0)</f>
        <v>Pacific spiny dogfish</v>
      </c>
    </row>
    <row r="35" spans="1:3" x14ac:dyDescent="0.2">
      <c r="A35" s="2" t="s">
        <v>22</v>
      </c>
      <c r="B35" s="3" t="s">
        <v>106</v>
      </c>
      <c r="C35" s="6" t="str">
        <f>VLOOKUP(B35,'[1]VGPPhase1-freeze-1.0'!$J$2:$L$717,2,0)</f>
        <v>zebra shark</v>
      </c>
    </row>
    <row r="36" spans="1:3" x14ac:dyDescent="0.2">
      <c r="A36" s="3" t="s">
        <v>30</v>
      </c>
      <c r="B36" s="3" t="s">
        <v>154</v>
      </c>
      <c r="C36" s="6" t="str">
        <f>VLOOKUP(B36,'[1]VGPPhase1-freeze-1.0'!$J$2:$L$717,2,0)</f>
        <v>basking shark</v>
      </c>
    </row>
    <row r="37" spans="1:3" x14ac:dyDescent="0.2">
      <c r="A37" s="3" t="s">
        <v>30</v>
      </c>
      <c r="B37" s="3" t="s">
        <v>185</v>
      </c>
      <c r="C37" s="6" t="str">
        <f>VLOOKUP(B37,'[1]VGPPhase1-freeze-1.0'!$J$2:$L$717,2,0)</f>
        <v>starry smooth-hound shark</v>
      </c>
    </row>
    <row r="38" spans="1:3" x14ac:dyDescent="0.2">
      <c r="A38" s="3" t="s">
        <v>30</v>
      </c>
      <c r="B38" s="3" t="s">
        <v>148</v>
      </c>
      <c r="C38" s="6" t="str">
        <f>VLOOKUP(B38,'[1]VGPPhase1-freeze-1.0'!$J$2:$L$717,2,0)</f>
        <v>blonde ray</v>
      </c>
    </row>
    <row r="39" spans="1:3" x14ac:dyDescent="0.2">
      <c r="A39" s="3" t="s">
        <v>30</v>
      </c>
      <c r="B39" s="3" t="s">
        <v>28</v>
      </c>
      <c r="C39" s="6" t="str">
        <f>VLOOKUP(B39,'[1]VGPPhase1-freeze-1.0'!$J$2:$L$717,2,0)</f>
        <v>small-spotted catshark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Fish.asm.summary</vt:lpstr>
      <vt:lpstr>species.list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Chan</dc:creator>
  <cp:lastModifiedBy>Agnes Chan</cp:lastModifiedBy>
  <dcterms:created xsi:type="dcterms:W3CDTF">2025-10-10T22:46:33Z</dcterms:created>
  <dcterms:modified xsi:type="dcterms:W3CDTF">2025-10-23T17:41:34Z</dcterms:modified>
</cp:coreProperties>
</file>